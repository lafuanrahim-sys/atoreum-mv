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5DA7A67-FA4C-4EA9-8E89-543C6CD1EB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sts" sheetId="1" r:id="rId1"/>
    <sheet name="Pricing WorkSheet" sheetId="2" r:id="rId2"/>
    <sheet name="Final Pricing Shee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5" l="1"/>
  <c r="P5" i="5"/>
  <c r="P6" i="5"/>
  <c r="P7" i="5"/>
  <c r="P8" i="5"/>
  <c r="P9" i="5"/>
  <c r="P10" i="5"/>
  <c r="P11" i="5"/>
  <c r="P12" i="5"/>
  <c r="P13" i="5"/>
  <c r="P92" i="5" s="1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3" i="5"/>
  <c r="R92" i="5" s="1"/>
  <c r="Y92" i="5"/>
  <c r="X34" i="5"/>
  <c r="X47" i="5"/>
  <c r="X58" i="5"/>
  <c r="X71" i="5"/>
  <c r="X82" i="5"/>
  <c r="V92" i="5"/>
  <c r="W92" i="5"/>
  <c r="Z4" i="5"/>
  <c r="X4" i="5" s="1"/>
  <c r="Z5" i="5"/>
  <c r="X5" i="5" s="1"/>
  <c r="Z6" i="5"/>
  <c r="X6" i="5" s="1"/>
  <c r="Z7" i="5"/>
  <c r="X7" i="5" s="1"/>
  <c r="Z8" i="5"/>
  <c r="X8" i="5" s="1"/>
  <c r="Z9" i="5"/>
  <c r="X9" i="5" s="1"/>
  <c r="Z10" i="5"/>
  <c r="X10" i="5" s="1"/>
  <c r="Z11" i="5"/>
  <c r="X11" i="5" s="1"/>
  <c r="Z12" i="5"/>
  <c r="X12" i="5" s="1"/>
  <c r="Z13" i="5"/>
  <c r="X13" i="5" s="1"/>
  <c r="Z14" i="5"/>
  <c r="X14" i="5" s="1"/>
  <c r="Z15" i="5"/>
  <c r="X15" i="5" s="1"/>
  <c r="Z16" i="5"/>
  <c r="X16" i="5" s="1"/>
  <c r="Z17" i="5"/>
  <c r="X17" i="5" s="1"/>
  <c r="Z18" i="5"/>
  <c r="X18" i="5" s="1"/>
  <c r="Z19" i="5"/>
  <c r="X19" i="5" s="1"/>
  <c r="Z20" i="5"/>
  <c r="X20" i="5" s="1"/>
  <c r="Z21" i="5"/>
  <c r="X21" i="5" s="1"/>
  <c r="Z22" i="5"/>
  <c r="X22" i="5" s="1"/>
  <c r="Z23" i="5"/>
  <c r="X23" i="5" s="1"/>
  <c r="Z24" i="5"/>
  <c r="X24" i="5" s="1"/>
  <c r="Z25" i="5"/>
  <c r="X25" i="5" s="1"/>
  <c r="Z26" i="5"/>
  <c r="X26" i="5" s="1"/>
  <c r="Z27" i="5"/>
  <c r="X27" i="5" s="1"/>
  <c r="Z28" i="5"/>
  <c r="X28" i="5" s="1"/>
  <c r="Z29" i="5"/>
  <c r="X29" i="5" s="1"/>
  <c r="Z30" i="5"/>
  <c r="X30" i="5" s="1"/>
  <c r="Z31" i="5"/>
  <c r="X31" i="5" s="1"/>
  <c r="Z32" i="5"/>
  <c r="X32" i="5" s="1"/>
  <c r="Z33" i="5"/>
  <c r="X33" i="5" s="1"/>
  <c r="Z34" i="5"/>
  <c r="Z35" i="5"/>
  <c r="X35" i="5" s="1"/>
  <c r="Z36" i="5"/>
  <c r="X36" i="5" s="1"/>
  <c r="Z37" i="5"/>
  <c r="X37" i="5" s="1"/>
  <c r="Z38" i="5"/>
  <c r="X38" i="5" s="1"/>
  <c r="Z39" i="5"/>
  <c r="X39" i="5" s="1"/>
  <c r="Z40" i="5"/>
  <c r="X40" i="5" s="1"/>
  <c r="Z41" i="5"/>
  <c r="X41" i="5" s="1"/>
  <c r="Z42" i="5"/>
  <c r="X42" i="5" s="1"/>
  <c r="Z43" i="5"/>
  <c r="X43" i="5" s="1"/>
  <c r="Z44" i="5"/>
  <c r="X44" i="5" s="1"/>
  <c r="Z45" i="5"/>
  <c r="X45" i="5" s="1"/>
  <c r="Z46" i="5"/>
  <c r="X46" i="5" s="1"/>
  <c r="Z47" i="5"/>
  <c r="Z48" i="5"/>
  <c r="X48" i="5" s="1"/>
  <c r="Z49" i="5"/>
  <c r="X49" i="5" s="1"/>
  <c r="Z50" i="5"/>
  <c r="X50" i="5" s="1"/>
  <c r="Z51" i="5"/>
  <c r="X51" i="5" s="1"/>
  <c r="Z52" i="5"/>
  <c r="X52" i="5" s="1"/>
  <c r="Z53" i="5"/>
  <c r="X53" i="5" s="1"/>
  <c r="Z54" i="5"/>
  <c r="X54" i="5" s="1"/>
  <c r="Z55" i="5"/>
  <c r="X55" i="5" s="1"/>
  <c r="Z56" i="5"/>
  <c r="X56" i="5" s="1"/>
  <c r="Z57" i="5"/>
  <c r="X57" i="5" s="1"/>
  <c r="Z58" i="5"/>
  <c r="Z59" i="5"/>
  <c r="X59" i="5" s="1"/>
  <c r="Z60" i="5"/>
  <c r="X60" i="5" s="1"/>
  <c r="Z61" i="5"/>
  <c r="X61" i="5" s="1"/>
  <c r="Z62" i="5"/>
  <c r="X62" i="5" s="1"/>
  <c r="Z63" i="5"/>
  <c r="X63" i="5" s="1"/>
  <c r="Z64" i="5"/>
  <c r="X64" i="5" s="1"/>
  <c r="Z65" i="5"/>
  <c r="X65" i="5" s="1"/>
  <c r="Z66" i="5"/>
  <c r="X66" i="5" s="1"/>
  <c r="Z67" i="5"/>
  <c r="X67" i="5" s="1"/>
  <c r="Z68" i="5"/>
  <c r="X68" i="5" s="1"/>
  <c r="Z69" i="5"/>
  <c r="X69" i="5" s="1"/>
  <c r="Z70" i="5"/>
  <c r="X70" i="5" s="1"/>
  <c r="Z71" i="5"/>
  <c r="Z72" i="5"/>
  <c r="X72" i="5" s="1"/>
  <c r="Z73" i="5"/>
  <c r="X73" i="5" s="1"/>
  <c r="Z74" i="5"/>
  <c r="X74" i="5" s="1"/>
  <c r="Z75" i="5"/>
  <c r="X75" i="5" s="1"/>
  <c r="Z76" i="5"/>
  <c r="X76" i="5" s="1"/>
  <c r="Z77" i="5"/>
  <c r="X77" i="5" s="1"/>
  <c r="Z78" i="5"/>
  <c r="X78" i="5" s="1"/>
  <c r="Z79" i="5"/>
  <c r="X79" i="5" s="1"/>
  <c r="Z80" i="5"/>
  <c r="X80" i="5" s="1"/>
  <c r="Z81" i="5"/>
  <c r="X81" i="5" s="1"/>
  <c r="Z82" i="5"/>
  <c r="Z83" i="5"/>
  <c r="X83" i="5" s="1"/>
  <c r="Z84" i="5"/>
  <c r="X84" i="5" s="1"/>
  <c r="Z85" i="5"/>
  <c r="X85" i="5" s="1"/>
  <c r="Z86" i="5"/>
  <c r="X86" i="5" s="1"/>
  <c r="Z87" i="5"/>
  <c r="X87" i="5" s="1"/>
  <c r="Z88" i="5"/>
  <c r="X88" i="5" s="1"/>
  <c r="Z89" i="5"/>
  <c r="X89" i="5" s="1"/>
  <c r="Z90" i="5"/>
  <c r="X90" i="5" s="1"/>
  <c r="Z91" i="5"/>
  <c r="X91" i="5" s="1"/>
  <c r="Z3" i="5"/>
  <c r="T3" i="5"/>
  <c r="AC92" i="5"/>
  <c r="AB92" i="5"/>
  <c r="U92" i="5"/>
  <c r="S92" i="5"/>
  <c r="Q92" i="5"/>
  <c r="N92" i="5"/>
  <c r="D92" i="5"/>
  <c r="AP91" i="5"/>
  <c r="AM91" i="5"/>
  <c r="AN91" i="5" s="1"/>
  <c r="AO91" i="5" s="1"/>
  <c r="AJ91" i="5"/>
  <c r="AK91" i="5" s="1"/>
  <c r="AL91" i="5" s="1"/>
  <c r="AG91" i="5"/>
  <c r="AH91" i="5" s="1"/>
  <c r="AI91" i="5" s="1"/>
  <c r="AE91" i="5"/>
  <c r="AF91" i="5" s="1"/>
  <c r="AD91" i="5"/>
  <c r="T91" i="5"/>
  <c r="O91" i="5"/>
  <c r="L91" i="5"/>
  <c r="M91" i="5" s="1"/>
  <c r="F91" i="5"/>
  <c r="G91" i="5" s="1"/>
  <c r="AM90" i="5"/>
  <c r="AN90" i="5" s="1"/>
  <c r="AO90" i="5" s="1"/>
  <c r="AJ90" i="5"/>
  <c r="AK90" i="5" s="1"/>
  <c r="AL90" i="5" s="1"/>
  <c r="AG90" i="5"/>
  <c r="AH90" i="5" s="1"/>
  <c r="AI90" i="5" s="1"/>
  <c r="AD90" i="5"/>
  <c r="AE90" i="5" s="1"/>
  <c r="AF90" i="5" s="1"/>
  <c r="T90" i="5"/>
  <c r="O90" i="5"/>
  <c r="L90" i="5"/>
  <c r="M90" i="5" s="1"/>
  <c r="F90" i="5"/>
  <c r="G90" i="5" s="1"/>
  <c r="AM89" i="5"/>
  <c r="AN89" i="5" s="1"/>
  <c r="AO89" i="5" s="1"/>
  <c r="AJ89" i="5"/>
  <c r="AK89" i="5" s="1"/>
  <c r="AL89" i="5" s="1"/>
  <c r="AH89" i="5"/>
  <c r="AI89" i="5" s="1"/>
  <c r="AG89" i="5"/>
  <c r="AD89" i="5"/>
  <c r="AE89" i="5" s="1"/>
  <c r="AF89" i="5" s="1"/>
  <c r="T89" i="5"/>
  <c r="O89" i="5"/>
  <c r="L89" i="5"/>
  <c r="M89" i="5" s="1"/>
  <c r="F89" i="5"/>
  <c r="AM88" i="5"/>
  <c r="AN88" i="5" s="1"/>
  <c r="AO88" i="5" s="1"/>
  <c r="AJ88" i="5"/>
  <c r="AK88" i="5" s="1"/>
  <c r="AL88" i="5" s="1"/>
  <c r="AG88" i="5"/>
  <c r="AH88" i="5" s="1"/>
  <c r="AI88" i="5" s="1"/>
  <c r="AD88" i="5"/>
  <c r="AE88" i="5" s="1"/>
  <c r="AF88" i="5" s="1"/>
  <c r="T88" i="5"/>
  <c r="O88" i="5"/>
  <c r="L88" i="5"/>
  <c r="M88" i="5" s="1"/>
  <c r="F88" i="5"/>
  <c r="AP88" i="5" s="1"/>
  <c r="AM87" i="5"/>
  <c r="AN87" i="5" s="1"/>
  <c r="AO87" i="5" s="1"/>
  <c r="AJ87" i="5"/>
  <c r="AK87" i="5" s="1"/>
  <c r="AL87" i="5" s="1"/>
  <c r="AG87" i="5"/>
  <c r="AH87" i="5" s="1"/>
  <c r="AI87" i="5" s="1"/>
  <c r="AD87" i="5"/>
  <c r="AE87" i="5" s="1"/>
  <c r="AF87" i="5" s="1"/>
  <c r="T87" i="5"/>
  <c r="O87" i="5"/>
  <c r="L87" i="5"/>
  <c r="M87" i="5" s="1"/>
  <c r="F87" i="5"/>
  <c r="G87" i="5" s="1"/>
  <c r="AM86" i="5"/>
  <c r="AN86" i="5" s="1"/>
  <c r="AO86" i="5" s="1"/>
  <c r="AJ86" i="5"/>
  <c r="AK86" i="5" s="1"/>
  <c r="AL86" i="5" s="1"/>
  <c r="AG86" i="5"/>
  <c r="AH86" i="5" s="1"/>
  <c r="AI86" i="5" s="1"/>
  <c r="AD86" i="5"/>
  <c r="AE86" i="5" s="1"/>
  <c r="AF86" i="5" s="1"/>
  <c r="T86" i="5"/>
  <c r="O86" i="5"/>
  <c r="M86" i="5"/>
  <c r="L86" i="5"/>
  <c r="F86" i="5"/>
  <c r="AM85" i="5"/>
  <c r="AN85" i="5" s="1"/>
  <c r="AO85" i="5" s="1"/>
  <c r="AJ85" i="5"/>
  <c r="AK85" i="5" s="1"/>
  <c r="AL85" i="5" s="1"/>
  <c r="AH85" i="5"/>
  <c r="AI85" i="5" s="1"/>
  <c r="AG85" i="5"/>
  <c r="AD85" i="5"/>
  <c r="AE85" i="5" s="1"/>
  <c r="AF85" i="5" s="1"/>
  <c r="T85" i="5"/>
  <c r="O85" i="5"/>
  <c r="L85" i="5"/>
  <c r="F85" i="5"/>
  <c r="AM84" i="5"/>
  <c r="AN84" i="5" s="1"/>
  <c r="AO84" i="5" s="1"/>
  <c r="AJ84" i="5"/>
  <c r="AK84" i="5" s="1"/>
  <c r="AL84" i="5" s="1"/>
  <c r="AG84" i="5"/>
  <c r="AH84" i="5" s="1"/>
  <c r="AI84" i="5" s="1"/>
  <c r="AD84" i="5"/>
  <c r="AE84" i="5" s="1"/>
  <c r="AF84" i="5" s="1"/>
  <c r="T84" i="5"/>
  <c r="O84" i="5"/>
  <c r="L84" i="5"/>
  <c r="F84" i="5"/>
  <c r="AM83" i="5"/>
  <c r="AN83" i="5" s="1"/>
  <c r="AO83" i="5" s="1"/>
  <c r="AJ83" i="5"/>
  <c r="AK83" i="5" s="1"/>
  <c r="AL83" i="5" s="1"/>
  <c r="AG83" i="5"/>
  <c r="AH83" i="5" s="1"/>
  <c r="AI83" i="5" s="1"/>
  <c r="AD83" i="5"/>
  <c r="AE83" i="5" s="1"/>
  <c r="AF83" i="5" s="1"/>
  <c r="T83" i="5"/>
  <c r="O83" i="5"/>
  <c r="M83" i="5"/>
  <c r="L83" i="5"/>
  <c r="F83" i="5"/>
  <c r="AP82" i="5"/>
  <c r="AM82" i="5"/>
  <c r="AN82" i="5" s="1"/>
  <c r="AO82" i="5" s="1"/>
  <c r="AJ82" i="5"/>
  <c r="AK82" i="5" s="1"/>
  <c r="AL82" i="5" s="1"/>
  <c r="AG82" i="5"/>
  <c r="AH82" i="5" s="1"/>
  <c r="AI82" i="5" s="1"/>
  <c r="AE82" i="5"/>
  <c r="AF82" i="5" s="1"/>
  <c r="AD82" i="5"/>
  <c r="T82" i="5"/>
  <c r="O82" i="5"/>
  <c r="L82" i="5"/>
  <c r="M82" i="5" s="1"/>
  <c r="G82" i="5"/>
  <c r="F82" i="5"/>
  <c r="AM81" i="5"/>
  <c r="AN81" i="5" s="1"/>
  <c r="AO81" i="5" s="1"/>
  <c r="AJ81" i="5"/>
  <c r="AK81" i="5" s="1"/>
  <c r="AL81" i="5" s="1"/>
  <c r="AG81" i="5"/>
  <c r="AH81" i="5" s="1"/>
  <c r="AI81" i="5" s="1"/>
  <c r="AD81" i="5"/>
  <c r="AE81" i="5" s="1"/>
  <c r="AF81" i="5" s="1"/>
  <c r="T81" i="5"/>
  <c r="O81" i="5"/>
  <c r="L81" i="5"/>
  <c r="M81" i="5" s="1"/>
  <c r="G81" i="5"/>
  <c r="F81" i="5"/>
  <c r="AP81" i="5" s="1"/>
  <c r="AN80" i="5"/>
  <c r="AO80" i="5" s="1"/>
  <c r="AM80" i="5"/>
  <c r="AJ80" i="5"/>
  <c r="AK80" i="5" s="1"/>
  <c r="AL80" i="5" s="1"/>
  <c r="AG80" i="5"/>
  <c r="AH80" i="5" s="1"/>
  <c r="AI80" i="5" s="1"/>
  <c r="AD80" i="5"/>
  <c r="AE80" i="5" s="1"/>
  <c r="AF80" i="5" s="1"/>
  <c r="T80" i="5"/>
  <c r="O80" i="5"/>
  <c r="L80" i="5"/>
  <c r="M80" i="5" s="1"/>
  <c r="F80" i="5"/>
  <c r="AP80" i="5" s="1"/>
  <c r="AM79" i="5"/>
  <c r="AN79" i="5" s="1"/>
  <c r="AO79" i="5" s="1"/>
  <c r="AJ79" i="5"/>
  <c r="AK79" i="5" s="1"/>
  <c r="AL79" i="5" s="1"/>
  <c r="AG79" i="5"/>
  <c r="AH79" i="5" s="1"/>
  <c r="AI79" i="5" s="1"/>
  <c r="AE79" i="5"/>
  <c r="AF79" i="5" s="1"/>
  <c r="AD79" i="5"/>
  <c r="T79" i="5"/>
  <c r="O79" i="5"/>
  <c r="M79" i="5"/>
  <c r="L79" i="5"/>
  <c r="F79" i="5"/>
  <c r="AM78" i="5"/>
  <c r="AN78" i="5" s="1"/>
  <c r="AO78" i="5" s="1"/>
  <c r="AJ78" i="5"/>
  <c r="AK78" i="5" s="1"/>
  <c r="AL78" i="5" s="1"/>
  <c r="AG78" i="5"/>
  <c r="AH78" i="5" s="1"/>
  <c r="AI78" i="5" s="1"/>
  <c r="AD78" i="5"/>
  <c r="AE78" i="5" s="1"/>
  <c r="AF78" i="5" s="1"/>
  <c r="T78" i="5"/>
  <c r="O78" i="5"/>
  <c r="L78" i="5"/>
  <c r="M78" i="5" s="1"/>
  <c r="F78" i="5"/>
  <c r="G78" i="5" s="1"/>
  <c r="AM77" i="5"/>
  <c r="AN77" i="5" s="1"/>
  <c r="AO77" i="5" s="1"/>
  <c r="AJ77" i="5"/>
  <c r="AK77" i="5" s="1"/>
  <c r="AL77" i="5" s="1"/>
  <c r="AG77" i="5"/>
  <c r="AH77" i="5" s="1"/>
  <c r="AI77" i="5" s="1"/>
  <c r="AD77" i="5"/>
  <c r="AE77" i="5" s="1"/>
  <c r="AF77" i="5" s="1"/>
  <c r="T77" i="5"/>
  <c r="O77" i="5"/>
  <c r="L77" i="5"/>
  <c r="F77" i="5"/>
  <c r="AP77" i="5" s="1"/>
  <c r="AM76" i="5"/>
  <c r="AN76" i="5" s="1"/>
  <c r="AO76" i="5" s="1"/>
  <c r="AJ76" i="5"/>
  <c r="AK76" i="5" s="1"/>
  <c r="AL76" i="5" s="1"/>
  <c r="AG76" i="5"/>
  <c r="AH76" i="5" s="1"/>
  <c r="AI76" i="5" s="1"/>
  <c r="AD76" i="5"/>
  <c r="AE76" i="5" s="1"/>
  <c r="AF76" i="5" s="1"/>
  <c r="T76" i="5"/>
  <c r="O76" i="5"/>
  <c r="M76" i="5"/>
  <c r="L76" i="5"/>
  <c r="F76" i="5"/>
  <c r="G76" i="5" s="1"/>
  <c r="AM75" i="5"/>
  <c r="AN75" i="5" s="1"/>
  <c r="AO75" i="5" s="1"/>
  <c r="AJ75" i="5"/>
  <c r="AK75" i="5" s="1"/>
  <c r="AL75" i="5" s="1"/>
  <c r="AG75" i="5"/>
  <c r="AH75" i="5" s="1"/>
  <c r="AI75" i="5" s="1"/>
  <c r="AD75" i="5"/>
  <c r="AE75" i="5" s="1"/>
  <c r="AF75" i="5" s="1"/>
  <c r="T75" i="5"/>
  <c r="O75" i="5"/>
  <c r="L75" i="5"/>
  <c r="M75" i="5" s="1"/>
  <c r="G75" i="5"/>
  <c r="F75" i="5"/>
  <c r="AP75" i="5" s="1"/>
  <c r="AP74" i="5"/>
  <c r="AM74" i="5"/>
  <c r="AN74" i="5" s="1"/>
  <c r="AO74" i="5" s="1"/>
  <c r="AJ74" i="5"/>
  <c r="AK74" i="5" s="1"/>
  <c r="AL74" i="5" s="1"/>
  <c r="AG74" i="5"/>
  <c r="AH74" i="5" s="1"/>
  <c r="AI74" i="5" s="1"/>
  <c r="AD74" i="5"/>
  <c r="AE74" i="5" s="1"/>
  <c r="AF74" i="5" s="1"/>
  <c r="T74" i="5"/>
  <c r="O74" i="5"/>
  <c r="L74" i="5"/>
  <c r="F74" i="5"/>
  <c r="G74" i="5" s="1"/>
  <c r="AM73" i="5"/>
  <c r="AN73" i="5" s="1"/>
  <c r="AO73" i="5" s="1"/>
  <c r="AK73" i="5"/>
  <c r="AL73" i="5" s="1"/>
  <c r="AJ73" i="5"/>
  <c r="AG73" i="5"/>
  <c r="AH73" i="5" s="1"/>
  <c r="AI73" i="5" s="1"/>
  <c r="AD73" i="5"/>
  <c r="AE73" i="5" s="1"/>
  <c r="AF73" i="5" s="1"/>
  <c r="T73" i="5"/>
  <c r="O73" i="5"/>
  <c r="L73" i="5"/>
  <c r="M73" i="5" s="1"/>
  <c r="F73" i="5"/>
  <c r="AP73" i="5" s="1"/>
  <c r="AM72" i="5"/>
  <c r="AN72" i="5" s="1"/>
  <c r="AO72" i="5" s="1"/>
  <c r="AJ72" i="5"/>
  <c r="AK72" i="5" s="1"/>
  <c r="AL72" i="5" s="1"/>
  <c r="AG72" i="5"/>
  <c r="AH72" i="5" s="1"/>
  <c r="AI72" i="5" s="1"/>
  <c r="AD72" i="5"/>
  <c r="AE72" i="5" s="1"/>
  <c r="AF72" i="5" s="1"/>
  <c r="T72" i="5"/>
  <c r="O72" i="5"/>
  <c r="L72" i="5"/>
  <c r="M72" i="5" s="1"/>
  <c r="F72" i="5"/>
  <c r="AM71" i="5"/>
  <c r="AN71" i="5" s="1"/>
  <c r="AO71" i="5" s="1"/>
  <c r="AJ71" i="5"/>
  <c r="AK71" i="5" s="1"/>
  <c r="AL71" i="5" s="1"/>
  <c r="AG71" i="5"/>
  <c r="AH71" i="5" s="1"/>
  <c r="AI71" i="5" s="1"/>
  <c r="AD71" i="5"/>
  <c r="AE71" i="5" s="1"/>
  <c r="AF71" i="5" s="1"/>
  <c r="T71" i="5"/>
  <c r="O71" i="5"/>
  <c r="L71" i="5"/>
  <c r="M71" i="5" s="1"/>
  <c r="F71" i="5"/>
  <c r="G71" i="5" s="1"/>
  <c r="AM70" i="5"/>
  <c r="AN70" i="5" s="1"/>
  <c r="AO70" i="5" s="1"/>
  <c r="AJ70" i="5"/>
  <c r="AK70" i="5" s="1"/>
  <c r="AL70" i="5" s="1"/>
  <c r="AG70" i="5"/>
  <c r="AH70" i="5" s="1"/>
  <c r="AI70" i="5" s="1"/>
  <c r="AD70" i="5"/>
  <c r="AE70" i="5" s="1"/>
  <c r="AF70" i="5" s="1"/>
  <c r="T70" i="5"/>
  <c r="O70" i="5"/>
  <c r="L70" i="5"/>
  <c r="M70" i="5" s="1"/>
  <c r="F70" i="5"/>
  <c r="AM69" i="5"/>
  <c r="AN69" i="5" s="1"/>
  <c r="AO69" i="5" s="1"/>
  <c r="AJ69" i="5"/>
  <c r="AK69" i="5" s="1"/>
  <c r="AL69" i="5" s="1"/>
  <c r="AG69" i="5"/>
  <c r="AH69" i="5" s="1"/>
  <c r="AI69" i="5" s="1"/>
  <c r="AD69" i="5"/>
  <c r="AE69" i="5" s="1"/>
  <c r="AF69" i="5" s="1"/>
  <c r="T69" i="5"/>
  <c r="O69" i="5"/>
  <c r="L69" i="5"/>
  <c r="F69" i="5"/>
  <c r="AP69" i="5" s="1"/>
  <c r="AM68" i="5"/>
  <c r="AN68" i="5" s="1"/>
  <c r="AO68" i="5" s="1"/>
  <c r="AJ68" i="5"/>
  <c r="AK68" i="5" s="1"/>
  <c r="AL68" i="5" s="1"/>
  <c r="AG68" i="5"/>
  <c r="AH68" i="5" s="1"/>
  <c r="AI68" i="5" s="1"/>
  <c r="AD68" i="5"/>
  <c r="AE68" i="5" s="1"/>
  <c r="AF68" i="5" s="1"/>
  <c r="T68" i="5"/>
  <c r="O68" i="5"/>
  <c r="L68" i="5"/>
  <c r="G68" i="5"/>
  <c r="F68" i="5"/>
  <c r="AP68" i="5" s="1"/>
  <c r="AM67" i="5"/>
  <c r="AN67" i="5" s="1"/>
  <c r="AO67" i="5" s="1"/>
  <c r="AJ67" i="5"/>
  <c r="AK67" i="5" s="1"/>
  <c r="AL67" i="5" s="1"/>
  <c r="AG67" i="5"/>
  <c r="AH67" i="5" s="1"/>
  <c r="AI67" i="5" s="1"/>
  <c r="AD67" i="5"/>
  <c r="AE67" i="5" s="1"/>
  <c r="AF67" i="5" s="1"/>
  <c r="T67" i="5"/>
  <c r="O67" i="5"/>
  <c r="L67" i="5"/>
  <c r="M67" i="5" s="1"/>
  <c r="F67" i="5"/>
  <c r="G67" i="5" s="1"/>
  <c r="AM66" i="5"/>
  <c r="AN66" i="5" s="1"/>
  <c r="AO66" i="5" s="1"/>
  <c r="AJ66" i="5"/>
  <c r="AK66" i="5" s="1"/>
  <c r="AL66" i="5" s="1"/>
  <c r="AG66" i="5"/>
  <c r="AH66" i="5" s="1"/>
  <c r="AI66" i="5" s="1"/>
  <c r="AD66" i="5"/>
  <c r="AE66" i="5" s="1"/>
  <c r="AF66" i="5" s="1"/>
  <c r="T66" i="5"/>
  <c r="O66" i="5"/>
  <c r="L66" i="5"/>
  <c r="M66" i="5" s="1"/>
  <c r="F66" i="5"/>
  <c r="AP66" i="5" s="1"/>
  <c r="AM65" i="5"/>
  <c r="AN65" i="5" s="1"/>
  <c r="AO65" i="5" s="1"/>
  <c r="AJ65" i="5"/>
  <c r="AK65" i="5" s="1"/>
  <c r="AL65" i="5" s="1"/>
  <c r="AG65" i="5"/>
  <c r="AH65" i="5" s="1"/>
  <c r="AI65" i="5" s="1"/>
  <c r="AE65" i="5"/>
  <c r="AF65" i="5" s="1"/>
  <c r="AD65" i="5"/>
  <c r="T65" i="5"/>
  <c r="O65" i="5"/>
  <c r="L65" i="5"/>
  <c r="M65" i="5" s="1"/>
  <c r="F65" i="5"/>
  <c r="AM64" i="5"/>
  <c r="AN64" i="5" s="1"/>
  <c r="AO64" i="5" s="1"/>
  <c r="AJ64" i="5"/>
  <c r="AK64" i="5" s="1"/>
  <c r="AL64" i="5" s="1"/>
  <c r="AG64" i="5"/>
  <c r="AH64" i="5" s="1"/>
  <c r="AI64" i="5" s="1"/>
  <c r="AD64" i="5"/>
  <c r="AE64" i="5" s="1"/>
  <c r="AF64" i="5" s="1"/>
  <c r="T64" i="5"/>
  <c r="O64" i="5"/>
  <c r="L64" i="5"/>
  <c r="M64" i="5" s="1"/>
  <c r="F64" i="5"/>
  <c r="AP64" i="5" s="1"/>
  <c r="AM63" i="5"/>
  <c r="AN63" i="5" s="1"/>
  <c r="AO63" i="5" s="1"/>
  <c r="AJ63" i="5"/>
  <c r="AK63" i="5" s="1"/>
  <c r="AL63" i="5" s="1"/>
  <c r="AG63" i="5"/>
  <c r="AH63" i="5" s="1"/>
  <c r="AI63" i="5" s="1"/>
  <c r="AD63" i="5"/>
  <c r="AE63" i="5" s="1"/>
  <c r="AF63" i="5" s="1"/>
  <c r="T63" i="5"/>
  <c r="O63" i="5"/>
  <c r="L63" i="5"/>
  <c r="M63" i="5" s="1"/>
  <c r="F63" i="5"/>
  <c r="AM62" i="5"/>
  <c r="AN62" i="5" s="1"/>
  <c r="AO62" i="5" s="1"/>
  <c r="AJ62" i="5"/>
  <c r="AK62" i="5" s="1"/>
  <c r="AL62" i="5" s="1"/>
  <c r="AG62" i="5"/>
  <c r="AH62" i="5" s="1"/>
  <c r="AI62" i="5" s="1"/>
  <c r="AD62" i="5"/>
  <c r="AE62" i="5" s="1"/>
  <c r="AF62" i="5" s="1"/>
  <c r="T62" i="5"/>
  <c r="O62" i="5"/>
  <c r="L62" i="5"/>
  <c r="M62" i="5" s="1"/>
  <c r="F62" i="5"/>
  <c r="AM61" i="5"/>
  <c r="AN61" i="5" s="1"/>
  <c r="AO61" i="5" s="1"/>
  <c r="AJ61" i="5"/>
  <c r="AK61" i="5" s="1"/>
  <c r="AL61" i="5" s="1"/>
  <c r="AH61" i="5"/>
  <c r="AI61" i="5" s="1"/>
  <c r="AG61" i="5"/>
  <c r="AD61" i="5"/>
  <c r="AE61" i="5" s="1"/>
  <c r="AF61" i="5" s="1"/>
  <c r="T61" i="5"/>
  <c r="O61" i="5"/>
  <c r="L61" i="5"/>
  <c r="F61" i="5"/>
  <c r="AM60" i="5"/>
  <c r="AN60" i="5" s="1"/>
  <c r="AO60" i="5" s="1"/>
  <c r="AJ60" i="5"/>
  <c r="AK60" i="5" s="1"/>
  <c r="AL60" i="5" s="1"/>
  <c r="AG60" i="5"/>
  <c r="AH60" i="5" s="1"/>
  <c r="AI60" i="5" s="1"/>
  <c r="AD60" i="5"/>
  <c r="AE60" i="5" s="1"/>
  <c r="AF60" i="5" s="1"/>
  <c r="T60" i="5"/>
  <c r="O60" i="5"/>
  <c r="L60" i="5"/>
  <c r="M60" i="5" s="1"/>
  <c r="F60" i="5"/>
  <c r="G60" i="5" s="1"/>
  <c r="AM59" i="5"/>
  <c r="AN59" i="5" s="1"/>
  <c r="AO59" i="5" s="1"/>
  <c r="AJ59" i="5"/>
  <c r="AK59" i="5" s="1"/>
  <c r="AL59" i="5" s="1"/>
  <c r="AG59" i="5"/>
  <c r="AH59" i="5" s="1"/>
  <c r="AI59" i="5" s="1"/>
  <c r="AD59" i="5"/>
  <c r="AE59" i="5" s="1"/>
  <c r="AF59" i="5" s="1"/>
  <c r="T59" i="5"/>
  <c r="O59" i="5"/>
  <c r="L59" i="5"/>
  <c r="M59" i="5" s="1"/>
  <c r="F59" i="5"/>
  <c r="AP58" i="5"/>
  <c r="AM58" i="5"/>
  <c r="AN58" i="5" s="1"/>
  <c r="AO58" i="5" s="1"/>
  <c r="AJ58" i="5"/>
  <c r="AK58" i="5" s="1"/>
  <c r="AL58" i="5" s="1"/>
  <c r="AG58" i="5"/>
  <c r="AH58" i="5" s="1"/>
  <c r="AI58" i="5" s="1"/>
  <c r="AD58" i="5"/>
  <c r="AE58" i="5" s="1"/>
  <c r="AF58" i="5" s="1"/>
  <c r="T58" i="5"/>
  <c r="O58" i="5"/>
  <c r="L58" i="5"/>
  <c r="F58" i="5"/>
  <c r="G58" i="5" s="1"/>
  <c r="AM57" i="5"/>
  <c r="AN57" i="5" s="1"/>
  <c r="AO57" i="5" s="1"/>
  <c r="AJ57" i="5"/>
  <c r="AK57" i="5" s="1"/>
  <c r="AL57" i="5" s="1"/>
  <c r="AG57" i="5"/>
  <c r="AH57" i="5" s="1"/>
  <c r="AI57" i="5" s="1"/>
  <c r="AD57" i="5"/>
  <c r="AE57" i="5" s="1"/>
  <c r="AF57" i="5" s="1"/>
  <c r="T57" i="5"/>
  <c r="O57" i="5"/>
  <c r="L57" i="5"/>
  <c r="M57" i="5" s="1"/>
  <c r="F57" i="5"/>
  <c r="AP57" i="5" s="1"/>
  <c r="AM56" i="5"/>
  <c r="AN56" i="5" s="1"/>
  <c r="AO56" i="5" s="1"/>
  <c r="AJ56" i="5"/>
  <c r="AK56" i="5" s="1"/>
  <c r="AL56" i="5" s="1"/>
  <c r="AG56" i="5"/>
  <c r="AH56" i="5" s="1"/>
  <c r="AI56" i="5" s="1"/>
  <c r="AD56" i="5"/>
  <c r="AE56" i="5" s="1"/>
  <c r="AF56" i="5" s="1"/>
  <c r="T56" i="5"/>
  <c r="O56" i="5"/>
  <c r="L56" i="5"/>
  <c r="M56" i="5" s="1"/>
  <c r="F56" i="5"/>
  <c r="AM55" i="5"/>
  <c r="AN55" i="5" s="1"/>
  <c r="AO55" i="5" s="1"/>
  <c r="AJ55" i="5"/>
  <c r="AK55" i="5" s="1"/>
  <c r="AL55" i="5" s="1"/>
  <c r="AH55" i="5"/>
  <c r="AI55" i="5" s="1"/>
  <c r="AG55" i="5"/>
  <c r="AD55" i="5"/>
  <c r="AE55" i="5" s="1"/>
  <c r="AF55" i="5" s="1"/>
  <c r="T55" i="5"/>
  <c r="O55" i="5"/>
  <c r="L55" i="5"/>
  <c r="M55" i="5" s="1"/>
  <c r="F55" i="5"/>
  <c r="G55" i="5" s="1"/>
  <c r="AM54" i="5"/>
  <c r="AN54" i="5" s="1"/>
  <c r="AO54" i="5" s="1"/>
  <c r="AJ54" i="5"/>
  <c r="AK54" i="5" s="1"/>
  <c r="AL54" i="5" s="1"/>
  <c r="AG54" i="5"/>
  <c r="AH54" i="5" s="1"/>
  <c r="AI54" i="5" s="1"/>
  <c r="AD54" i="5"/>
  <c r="AE54" i="5" s="1"/>
  <c r="AF54" i="5" s="1"/>
  <c r="T54" i="5"/>
  <c r="O54" i="5"/>
  <c r="L54" i="5"/>
  <c r="M54" i="5" s="1"/>
  <c r="G54" i="5"/>
  <c r="F54" i="5"/>
  <c r="AP54" i="5" s="1"/>
  <c r="AM53" i="5"/>
  <c r="AN53" i="5" s="1"/>
  <c r="AO53" i="5" s="1"/>
  <c r="AL53" i="5"/>
  <c r="AJ53" i="5"/>
  <c r="AK53" i="5" s="1"/>
  <c r="AG53" i="5"/>
  <c r="AH53" i="5" s="1"/>
  <c r="AI53" i="5" s="1"/>
  <c r="AD53" i="5"/>
  <c r="AE53" i="5" s="1"/>
  <c r="AF53" i="5" s="1"/>
  <c r="T53" i="5"/>
  <c r="O53" i="5"/>
  <c r="L53" i="5"/>
  <c r="M53" i="5" s="1"/>
  <c r="F53" i="5"/>
  <c r="AM52" i="5"/>
  <c r="AN52" i="5" s="1"/>
  <c r="AO52" i="5" s="1"/>
  <c r="AJ52" i="5"/>
  <c r="AK52" i="5" s="1"/>
  <c r="AL52" i="5" s="1"/>
  <c r="AG52" i="5"/>
  <c r="AH52" i="5" s="1"/>
  <c r="AI52" i="5" s="1"/>
  <c r="AD52" i="5"/>
  <c r="AE52" i="5" s="1"/>
  <c r="AF52" i="5" s="1"/>
  <c r="T52" i="5"/>
  <c r="O52" i="5"/>
  <c r="L52" i="5"/>
  <c r="F52" i="5"/>
  <c r="G52" i="5" s="1"/>
  <c r="AM51" i="5"/>
  <c r="AN51" i="5" s="1"/>
  <c r="AO51" i="5" s="1"/>
  <c r="AJ51" i="5"/>
  <c r="AK51" i="5" s="1"/>
  <c r="AL51" i="5" s="1"/>
  <c r="AG51" i="5"/>
  <c r="AH51" i="5" s="1"/>
  <c r="AI51" i="5" s="1"/>
  <c r="AD51" i="5"/>
  <c r="AE51" i="5" s="1"/>
  <c r="AF51" i="5" s="1"/>
  <c r="T51" i="5"/>
  <c r="O51" i="5"/>
  <c r="L51" i="5"/>
  <c r="M51" i="5" s="1"/>
  <c r="F51" i="5"/>
  <c r="AP51" i="5" s="1"/>
  <c r="AM50" i="5"/>
  <c r="AN50" i="5" s="1"/>
  <c r="AO50" i="5" s="1"/>
  <c r="AK50" i="5"/>
  <c r="AL50" i="5" s="1"/>
  <c r="AJ50" i="5"/>
  <c r="AG50" i="5"/>
  <c r="AH50" i="5" s="1"/>
  <c r="AI50" i="5" s="1"/>
  <c r="AD50" i="5"/>
  <c r="AE50" i="5" s="1"/>
  <c r="AF50" i="5" s="1"/>
  <c r="T50" i="5"/>
  <c r="O50" i="5"/>
  <c r="L50" i="5"/>
  <c r="M50" i="5" s="1"/>
  <c r="F50" i="5"/>
  <c r="AM49" i="5"/>
  <c r="AN49" i="5" s="1"/>
  <c r="AO49" i="5" s="1"/>
  <c r="AJ49" i="5"/>
  <c r="AK49" i="5" s="1"/>
  <c r="AL49" i="5" s="1"/>
  <c r="AG49" i="5"/>
  <c r="AH49" i="5" s="1"/>
  <c r="AI49" i="5" s="1"/>
  <c r="AD49" i="5"/>
  <c r="AE49" i="5" s="1"/>
  <c r="AF49" i="5" s="1"/>
  <c r="T49" i="5"/>
  <c r="O49" i="5"/>
  <c r="L49" i="5"/>
  <c r="F49" i="5"/>
  <c r="AP49" i="5" s="1"/>
  <c r="AN48" i="5"/>
  <c r="AO48" i="5" s="1"/>
  <c r="AM48" i="5"/>
  <c r="AJ48" i="5"/>
  <c r="AK48" i="5" s="1"/>
  <c r="AL48" i="5" s="1"/>
  <c r="AI48" i="5"/>
  <c r="AG48" i="5"/>
  <c r="AH48" i="5" s="1"/>
  <c r="AD48" i="5"/>
  <c r="AE48" i="5" s="1"/>
  <c r="AF48" i="5" s="1"/>
  <c r="T48" i="5"/>
  <c r="O48" i="5"/>
  <c r="M48" i="5"/>
  <c r="L48" i="5"/>
  <c r="G48" i="5"/>
  <c r="F48" i="5"/>
  <c r="AP48" i="5" s="1"/>
  <c r="AM47" i="5"/>
  <c r="AN47" i="5" s="1"/>
  <c r="AO47" i="5" s="1"/>
  <c r="AJ47" i="5"/>
  <c r="AK47" i="5" s="1"/>
  <c r="AL47" i="5" s="1"/>
  <c r="AG47" i="5"/>
  <c r="AH47" i="5" s="1"/>
  <c r="AI47" i="5" s="1"/>
  <c r="AF47" i="5"/>
  <c r="AE47" i="5"/>
  <c r="AD47" i="5"/>
  <c r="T47" i="5"/>
  <c r="O47" i="5"/>
  <c r="L47" i="5"/>
  <c r="M47" i="5" s="1"/>
  <c r="F47" i="5"/>
  <c r="AP47" i="5" s="1"/>
  <c r="AM46" i="5"/>
  <c r="AN46" i="5" s="1"/>
  <c r="AO46" i="5" s="1"/>
  <c r="AJ46" i="5"/>
  <c r="AK46" i="5" s="1"/>
  <c r="AL46" i="5" s="1"/>
  <c r="AG46" i="5"/>
  <c r="AH46" i="5" s="1"/>
  <c r="AI46" i="5" s="1"/>
  <c r="AD46" i="5"/>
  <c r="AE46" i="5" s="1"/>
  <c r="AF46" i="5" s="1"/>
  <c r="T46" i="5"/>
  <c r="O46" i="5"/>
  <c r="L46" i="5"/>
  <c r="M46" i="5" s="1"/>
  <c r="F46" i="5"/>
  <c r="AP46" i="5" s="1"/>
  <c r="AM45" i="5"/>
  <c r="AN45" i="5" s="1"/>
  <c r="AO45" i="5" s="1"/>
  <c r="AK45" i="5"/>
  <c r="AL45" i="5" s="1"/>
  <c r="AJ45" i="5"/>
  <c r="AH45" i="5"/>
  <c r="AI45" i="5" s="1"/>
  <c r="AG45" i="5"/>
  <c r="AD45" i="5"/>
  <c r="AE45" i="5" s="1"/>
  <c r="AF45" i="5" s="1"/>
  <c r="T45" i="5"/>
  <c r="O45" i="5"/>
  <c r="M45" i="5"/>
  <c r="L45" i="5"/>
  <c r="F45" i="5"/>
  <c r="AM44" i="5"/>
  <c r="AN44" i="5" s="1"/>
  <c r="AO44" i="5" s="1"/>
  <c r="AJ44" i="5"/>
  <c r="AK44" i="5" s="1"/>
  <c r="AL44" i="5" s="1"/>
  <c r="AG44" i="5"/>
  <c r="AH44" i="5" s="1"/>
  <c r="AI44" i="5" s="1"/>
  <c r="AD44" i="5"/>
  <c r="AE44" i="5" s="1"/>
  <c r="AF44" i="5" s="1"/>
  <c r="T44" i="5"/>
  <c r="O44" i="5"/>
  <c r="L44" i="5"/>
  <c r="F44" i="5"/>
  <c r="G44" i="5" s="1"/>
  <c r="AM43" i="5"/>
  <c r="AN43" i="5" s="1"/>
  <c r="AO43" i="5" s="1"/>
  <c r="AJ43" i="5"/>
  <c r="AK43" i="5" s="1"/>
  <c r="AL43" i="5" s="1"/>
  <c r="AG43" i="5"/>
  <c r="AH43" i="5" s="1"/>
  <c r="AI43" i="5" s="1"/>
  <c r="AD43" i="5"/>
  <c r="AE43" i="5" s="1"/>
  <c r="AF43" i="5" s="1"/>
  <c r="T43" i="5"/>
  <c r="O43" i="5"/>
  <c r="L43" i="5"/>
  <c r="M43" i="5" s="1"/>
  <c r="F43" i="5"/>
  <c r="G43" i="5" s="1"/>
  <c r="AN42" i="5"/>
  <c r="AO42" i="5" s="1"/>
  <c r="AM42" i="5"/>
  <c r="AJ42" i="5"/>
  <c r="AK42" i="5" s="1"/>
  <c r="AL42" i="5" s="1"/>
  <c r="AG42" i="5"/>
  <c r="AH42" i="5" s="1"/>
  <c r="AI42" i="5" s="1"/>
  <c r="AD42" i="5"/>
  <c r="AE42" i="5" s="1"/>
  <c r="AF42" i="5" s="1"/>
  <c r="T42" i="5"/>
  <c r="O42" i="5"/>
  <c r="L42" i="5"/>
  <c r="M42" i="5" s="1"/>
  <c r="F42" i="5"/>
  <c r="G42" i="5" s="1"/>
  <c r="AM41" i="5"/>
  <c r="AN41" i="5" s="1"/>
  <c r="AO41" i="5" s="1"/>
  <c r="AJ41" i="5"/>
  <c r="AK41" i="5" s="1"/>
  <c r="AL41" i="5" s="1"/>
  <c r="AH41" i="5"/>
  <c r="AI41" i="5" s="1"/>
  <c r="AG41" i="5"/>
  <c r="AD41" i="5"/>
  <c r="AE41" i="5" s="1"/>
  <c r="AF41" i="5" s="1"/>
  <c r="T41" i="5"/>
  <c r="O41" i="5"/>
  <c r="L41" i="5"/>
  <c r="F41" i="5"/>
  <c r="G41" i="5" s="1"/>
  <c r="AM40" i="5"/>
  <c r="AN40" i="5" s="1"/>
  <c r="AO40" i="5" s="1"/>
  <c r="AJ40" i="5"/>
  <c r="AK40" i="5" s="1"/>
  <c r="AL40" i="5" s="1"/>
  <c r="AG40" i="5"/>
  <c r="AH40" i="5" s="1"/>
  <c r="AI40" i="5" s="1"/>
  <c r="AD40" i="5"/>
  <c r="AE40" i="5" s="1"/>
  <c r="AF40" i="5" s="1"/>
  <c r="T40" i="5"/>
  <c r="O40" i="5"/>
  <c r="L40" i="5"/>
  <c r="M40" i="5" s="1"/>
  <c r="F40" i="5"/>
  <c r="AM39" i="5"/>
  <c r="AN39" i="5" s="1"/>
  <c r="AO39" i="5" s="1"/>
  <c r="AJ39" i="5"/>
  <c r="AK39" i="5" s="1"/>
  <c r="AL39" i="5" s="1"/>
  <c r="AG39" i="5"/>
  <c r="AH39" i="5" s="1"/>
  <c r="AI39" i="5" s="1"/>
  <c r="AF39" i="5"/>
  <c r="AD39" i="5"/>
  <c r="AE39" i="5" s="1"/>
  <c r="T39" i="5"/>
  <c r="O39" i="5"/>
  <c r="L39" i="5"/>
  <c r="M39" i="5" s="1"/>
  <c r="F39" i="5"/>
  <c r="AP39" i="5" s="1"/>
  <c r="AM38" i="5"/>
  <c r="AN38" i="5" s="1"/>
  <c r="AO38" i="5" s="1"/>
  <c r="AJ38" i="5"/>
  <c r="AK38" i="5" s="1"/>
  <c r="AL38" i="5" s="1"/>
  <c r="AG38" i="5"/>
  <c r="AH38" i="5" s="1"/>
  <c r="AI38" i="5" s="1"/>
  <c r="AD38" i="5"/>
  <c r="AE38" i="5" s="1"/>
  <c r="AF38" i="5" s="1"/>
  <c r="T38" i="5"/>
  <c r="O38" i="5"/>
  <c r="L38" i="5"/>
  <c r="M38" i="5" s="1"/>
  <c r="F38" i="5"/>
  <c r="AP38" i="5" s="1"/>
  <c r="AM37" i="5"/>
  <c r="AN37" i="5" s="1"/>
  <c r="AO37" i="5" s="1"/>
  <c r="AJ37" i="5"/>
  <c r="AK37" i="5" s="1"/>
  <c r="AL37" i="5" s="1"/>
  <c r="AG37" i="5"/>
  <c r="AH37" i="5" s="1"/>
  <c r="AI37" i="5" s="1"/>
  <c r="AD37" i="5"/>
  <c r="AE37" i="5" s="1"/>
  <c r="AF37" i="5" s="1"/>
  <c r="T37" i="5"/>
  <c r="O37" i="5"/>
  <c r="L37" i="5"/>
  <c r="M37" i="5" s="1"/>
  <c r="F37" i="5"/>
  <c r="AM36" i="5"/>
  <c r="AN36" i="5" s="1"/>
  <c r="AO36" i="5" s="1"/>
  <c r="AJ36" i="5"/>
  <c r="AK36" i="5" s="1"/>
  <c r="AL36" i="5" s="1"/>
  <c r="AG36" i="5"/>
  <c r="AH36" i="5" s="1"/>
  <c r="AI36" i="5" s="1"/>
  <c r="AD36" i="5"/>
  <c r="AE36" i="5" s="1"/>
  <c r="AF36" i="5" s="1"/>
  <c r="T36" i="5"/>
  <c r="O36" i="5"/>
  <c r="L36" i="5"/>
  <c r="F36" i="5"/>
  <c r="G36" i="5" s="1"/>
  <c r="AM35" i="5"/>
  <c r="AN35" i="5" s="1"/>
  <c r="AO35" i="5" s="1"/>
  <c r="AJ35" i="5"/>
  <c r="AK35" i="5" s="1"/>
  <c r="AL35" i="5" s="1"/>
  <c r="AG35" i="5"/>
  <c r="AH35" i="5" s="1"/>
  <c r="AI35" i="5" s="1"/>
  <c r="AD35" i="5"/>
  <c r="AE35" i="5" s="1"/>
  <c r="AF35" i="5" s="1"/>
  <c r="T35" i="5"/>
  <c r="O35" i="5"/>
  <c r="L35" i="5"/>
  <c r="M35" i="5" s="1"/>
  <c r="F35" i="5"/>
  <c r="AP35" i="5" s="1"/>
  <c r="AM34" i="5"/>
  <c r="AN34" i="5" s="1"/>
  <c r="AO34" i="5" s="1"/>
  <c r="AJ34" i="5"/>
  <c r="AK34" i="5" s="1"/>
  <c r="AL34" i="5" s="1"/>
  <c r="AG34" i="5"/>
  <c r="AH34" i="5" s="1"/>
  <c r="AI34" i="5" s="1"/>
  <c r="AE34" i="5"/>
  <c r="AF34" i="5" s="1"/>
  <c r="AD34" i="5"/>
  <c r="T34" i="5"/>
  <c r="O34" i="5"/>
  <c r="L34" i="5"/>
  <c r="M34" i="5" s="1"/>
  <c r="F34" i="5"/>
  <c r="AP34" i="5" s="1"/>
  <c r="AM33" i="5"/>
  <c r="AN33" i="5" s="1"/>
  <c r="AO33" i="5" s="1"/>
  <c r="AJ33" i="5"/>
  <c r="AK33" i="5" s="1"/>
  <c r="AL33" i="5" s="1"/>
  <c r="AG33" i="5"/>
  <c r="AH33" i="5" s="1"/>
  <c r="AI33" i="5" s="1"/>
  <c r="AD33" i="5"/>
  <c r="AE33" i="5" s="1"/>
  <c r="AF33" i="5" s="1"/>
  <c r="T33" i="5"/>
  <c r="O33" i="5"/>
  <c r="L33" i="5"/>
  <c r="M33" i="5" s="1"/>
  <c r="F33" i="5"/>
  <c r="AM32" i="5"/>
  <c r="AN32" i="5" s="1"/>
  <c r="AO32" i="5" s="1"/>
  <c r="AJ32" i="5"/>
  <c r="AK32" i="5" s="1"/>
  <c r="AL32" i="5" s="1"/>
  <c r="AH32" i="5"/>
  <c r="AI32" i="5" s="1"/>
  <c r="AG32" i="5"/>
  <c r="AD32" i="5"/>
  <c r="AE32" i="5" s="1"/>
  <c r="AF32" i="5" s="1"/>
  <c r="T32" i="5"/>
  <c r="O32" i="5"/>
  <c r="L32" i="5"/>
  <c r="M32" i="5" s="1"/>
  <c r="F32" i="5"/>
  <c r="AP32" i="5" s="1"/>
  <c r="AM31" i="5"/>
  <c r="AN31" i="5" s="1"/>
  <c r="AO31" i="5" s="1"/>
  <c r="AJ31" i="5"/>
  <c r="AK31" i="5" s="1"/>
  <c r="AL31" i="5" s="1"/>
  <c r="AG31" i="5"/>
  <c r="AH31" i="5" s="1"/>
  <c r="AI31" i="5" s="1"/>
  <c r="AD31" i="5"/>
  <c r="AE31" i="5" s="1"/>
  <c r="AF31" i="5" s="1"/>
  <c r="T31" i="5"/>
  <c r="O31" i="5"/>
  <c r="L31" i="5"/>
  <c r="F31" i="5"/>
  <c r="AP31" i="5" s="1"/>
  <c r="AM30" i="5"/>
  <c r="AN30" i="5" s="1"/>
  <c r="AO30" i="5" s="1"/>
  <c r="AJ30" i="5"/>
  <c r="AK30" i="5" s="1"/>
  <c r="AL30" i="5" s="1"/>
  <c r="AI30" i="5"/>
  <c r="AG30" i="5"/>
  <c r="AH30" i="5" s="1"/>
  <c r="AD30" i="5"/>
  <c r="AE30" i="5" s="1"/>
  <c r="AF30" i="5" s="1"/>
  <c r="T30" i="5"/>
  <c r="O30" i="5"/>
  <c r="L30" i="5"/>
  <c r="M30" i="5" s="1"/>
  <c r="F30" i="5"/>
  <c r="G30" i="5" s="1"/>
  <c r="AM29" i="5"/>
  <c r="AN29" i="5" s="1"/>
  <c r="AO29" i="5" s="1"/>
  <c r="AJ29" i="5"/>
  <c r="AK29" i="5" s="1"/>
  <c r="AL29" i="5" s="1"/>
  <c r="AG29" i="5"/>
  <c r="AH29" i="5" s="1"/>
  <c r="AI29" i="5" s="1"/>
  <c r="AD29" i="5"/>
  <c r="AE29" i="5" s="1"/>
  <c r="AF29" i="5" s="1"/>
  <c r="T29" i="5"/>
  <c r="O29" i="5"/>
  <c r="L29" i="5"/>
  <c r="F29" i="5"/>
  <c r="G29" i="5" s="1"/>
  <c r="AM28" i="5"/>
  <c r="AN28" i="5" s="1"/>
  <c r="AO28" i="5" s="1"/>
  <c r="AJ28" i="5"/>
  <c r="AK28" i="5" s="1"/>
  <c r="AL28" i="5" s="1"/>
  <c r="AG28" i="5"/>
  <c r="AH28" i="5" s="1"/>
  <c r="AI28" i="5" s="1"/>
  <c r="AD28" i="5"/>
  <c r="AE28" i="5" s="1"/>
  <c r="AF28" i="5" s="1"/>
  <c r="T28" i="5"/>
  <c r="O28" i="5"/>
  <c r="L28" i="5"/>
  <c r="M28" i="5" s="1"/>
  <c r="F28" i="5"/>
  <c r="G28" i="5" s="1"/>
  <c r="AM27" i="5"/>
  <c r="AN27" i="5" s="1"/>
  <c r="AO27" i="5" s="1"/>
  <c r="AJ27" i="5"/>
  <c r="AK27" i="5" s="1"/>
  <c r="AL27" i="5" s="1"/>
  <c r="AG27" i="5"/>
  <c r="AH27" i="5" s="1"/>
  <c r="AI27" i="5" s="1"/>
  <c r="AD27" i="5"/>
  <c r="AE27" i="5" s="1"/>
  <c r="AF27" i="5" s="1"/>
  <c r="T27" i="5"/>
  <c r="O27" i="5"/>
  <c r="M27" i="5"/>
  <c r="L27" i="5"/>
  <c r="F27" i="5"/>
  <c r="AP27" i="5" s="1"/>
  <c r="AM26" i="5"/>
  <c r="AN26" i="5" s="1"/>
  <c r="AO26" i="5" s="1"/>
  <c r="AJ26" i="5"/>
  <c r="AK26" i="5" s="1"/>
  <c r="AL26" i="5" s="1"/>
  <c r="AG26" i="5"/>
  <c r="AH26" i="5" s="1"/>
  <c r="AI26" i="5" s="1"/>
  <c r="AD26" i="5"/>
  <c r="AE26" i="5" s="1"/>
  <c r="AF26" i="5" s="1"/>
  <c r="T26" i="5"/>
  <c r="O26" i="5"/>
  <c r="L26" i="5"/>
  <c r="M26" i="5" s="1"/>
  <c r="F26" i="5"/>
  <c r="AM25" i="5"/>
  <c r="AN25" i="5" s="1"/>
  <c r="AO25" i="5" s="1"/>
  <c r="AJ25" i="5"/>
  <c r="AK25" i="5" s="1"/>
  <c r="AL25" i="5" s="1"/>
  <c r="AG25" i="5"/>
  <c r="AH25" i="5" s="1"/>
  <c r="AI25" i="5" s="1"/>
  <c r="AD25" i="5"/>
  <c r="AE25" i="5" s="1"/>
  <c r="AF25" i="5" s="1"/>
  <c r="T25" i="5"/>
  <c r="O25" i="5"/>
  <c r="L25" i="5"/>
  <c r="M25" i="5" s="1"/>
  <c r="F25" i="5"/>
  <c r="AM24" i="5"/>
  <c r="AN24" i="5" s="1"/>
  <c r="AO24" i="5" s="1"/>
  <c r="AJ24" i="5"/>
  <c r="AK24" i="5" s="1"/>
  <c r="AL24" i="5" s="1"/>
  <c r="AG24" i="5"/>
  <c r="AH24" i="5" s="1"/>
  <c r="AI24" i="5" s="1"/>
  <c r="AD24" i="5"/>
  <c r="AE24" i="5" s="1"/>
  <c r="AF24" i="5" s="1"/>
  <c r="T24" i="5"/>
  <c r="O24" i="5"/>
  <c r="L24" i="5"/>
  <c r="M24" i="5" s="1"/>
  <c r="F24" i="5"/>
  <c r="AP24" i="5" s="1"/>
  <c r="AM23" i="5"/>
  <c r="AN23" i="5" s="1"/>
  <c r="AO23" i="5" s="1"/>
  <c r="AJ23" i="5"/>
  <c r="AK23" i="5" s="1"/>
  <c r="AL23" i="5" s="1"/>
  <c r="AG23" i="5"/>
  <c r="AH23" i="5" s="1"/>
  <c r="AI23" i="5" s="1"/>
  <c r="AD23" i="5"/>
  <c r="AE23" i="5" s="1"/>
  <c r="AF23" i="5" s="1"/>
  <c r="T23" i="5"/>
  <c r="O23" i="5"/>
  <c r="L23" i="5"/>
  <c r="F23" i="5"/>
  <c r="G23" i="5" s="1"/>
  <c r="AM22" i="5"/>
  <c r="AN22" i="5" s="1"/>
  <c r="AO22" i="5" s="1"/>
  <c r="AJ22" i="5"/>
  <c r="AK22" i="5" s="1"/>
  <c r="AL22" i="5" s="1"/>
  <c r="AI22" i="5"/>
  <c r="AG22" i="5"/>
  <c r="AH22" i="5" s="1"/>
  <c r="AD22" i="5"/>
  <c r="AE22" i="5" s="1"/>
  <c r="AF22" i="5" s="1"/>
  <c r="T22" i="5"/>
  <c r="O22" i="5"/>
  <c r="L22" i="5"/>
  <c r="M22" i="5" s="1"/>
  <c r="F22" i="5"/>
  <c r="G22" i="5" s="1"/>
  <c r="AP21" i="5"/>
  <c r="AM21" i="5"/>
  <c r="AN21" i="5" s="1"/>
  <c r="AO21" i="5" s="1"/>
  <c r="AJ21" i="5"/>
  <c r="AK21" i="5" s="1"/>
  <c r="AL21" i="5" s="1"/>
  <c r="AG21" i="5"/>
  <c r="AH21" i="5" s="1"/>
  <c r="AI21" i="5" s="1"/>
  <c r="AD21" i="5"/>
  <c r="AE21" i="5" s="1"/>
  <c r="AF21" i="5" s="1"/>
  <c r="T21" i="5"/>
  <c r="O21" i="5"/>
  <c r="L21" i="5"/>
  <c r="F21" i="5"/>
  <c r="G21" i="5" s="1"/>
  <c r="AM20" i="5"/>
  <c r="AN20" i="5" s="1"/>
  <c r="AO20" i="5" s="1"/>
  <c r="AJ20" i="5"/>
  <c r="AK20" i="5" s="1"/>
  <c r="AL20" i="5" s="1"/>
  <c r="AG20" i="5"/>
  <c r="AH20" i="5" s="1"/>
  <c r="AI20" i="5" s="1"/>
  <c r="AD20" i="5"/>
  <c r="AE20" i="5" s="1"/>
  <c r="AF20" i="5" s="1"/>
  <c r="T20" i="5"/>
  <c r="O20" i="5"/>
  <c r="L20" i="5"/>
  <c r="F20" i="5"/>
  <c r="G20" i="5" s="1"/>
  <c r="AM19" i="5"/>
  <c r="AN19" i="5" s="1"/>
  <c r="AO19" i="5" s="1"/>
  <c r="AK19" i="5"/>
  <c r="AL19" i="5" s="1"/>
  <c r="AJ19" i="5"/>
  <c r="AG19" i="5"/>
  <c r="AH19" i="5" s="1"/>
  <c r="AI19" i="5" s="1"/>
  <c r="AD19" i="5"/>
  <c r="AE19" i="5" s="1"/>
  <c r="AF19" i="5" s="1"/>
  <c r="T19" i="5"/>
  <c r="O19" i="5"/>
  <c r="L19" i="5"/>
  <c r="M19" i="5" s="1"/>
  <c r="F19" i="5"/>
  <c r="AP19" i="5" s="1"/>
  <c r="AM18" i="5"/>
  <c r="AN18" i="5" s="1"/>
  <c r="AO18" i="5" s="1"/>
  <c r="AJ18" i="5"/>
  <c r="AK18" i="5" s="1"/>
  <c r="AL18" i="5" s="1"/>
  <c r="AG18" i="5"/>
  <c r="AH18" i="5" s="1"/>
  <c r="AI18" i="5" s="1"/>
  <c r="AD18" i="5"/>
  <c r="AE18" i="5" s="1"/>
  <c r="AF18" i="5" s="1"/>
  <c r="T18" i="5"/>
  <c r="O18" i="5"/>
  <c r="L18" i="5"/>
  <c r="M18" i="5" s="1"/>
  <c r="F18" i="5"/>
  <c r="AP18" i="5" s="1"/>
  <c r="AM17" i="5"/>
  <c r="AN17" i="5" s="1"/>
  <c r="AO17" i="5" s="1"/>
  <c r="AJ17" i="5"/>
  <c r="AK17" i="5" s="1"/>
  <c r="AL17" i="5" s="1"/>
  <c r="AG17" i="5"/>
  <c r="AH17" i="5" s="1"/>
  <c r="AI17" i="5" s="1"/>
  <c r="AD17" i="5"/>
  <c r="AE17" i="5" s="1"/>
  <c r="AF17" i="5" s="1"/>
  <c r="T17" i="5"/>
  <c r="O17" i="5"/>
  <c r="L17" i="5"/>
  <c r="M17" i="5" s="1"/>
  <c r="F17" i="5"/>
  <c r="G17" i="5" s="1"/>
  <c r="AM16" i="5"/>
  <c r="AN16" i="5" s="1"/>
  <c r="AO16" i="5" s="1"/>
  <c r="AJ16" i="5"/>
  <c r="AK16" i="5" s="1"/>
  <c r="AL16" i="5" s="1"/>
  <c r="AG16" i="5"/>
  <c r="AH16" i="5" s="1"/>
  <c r="AI16" i="5" s="1"/>
  <c r="AD16" i="5"/>
  <c r="AE16" i="5" s="1"/>
  <c r="AF16" i="5" s="1"/>
  <c r="T16" i="5"/>
  <c r="O16" i="5"/>
  <c r="L16" i="5"/>
  <c r="M16" i="5" s="1"/>
  <c r="F16" i="5"/>
  <c r="AN15" i="5"/>
  <c r="AO15" i="5" s="1"/>
  <c r="AM15" i="5"/>
  <c r="AJ15" i="5"/>
  <c r="AK15" i="5" s="1"/>
  <c r="AL15" i="5" s="1"/>
  <c r="AG15" i="5"/>
  <c r="AH15" i="5" s="1"/>
  <c r="AI15" i="5" s="1"/>
  <c r="AD15" i="5"/>
  <c r="AE15" i="5" s="1"/>
  <c r="AF15" i="5" s="1"/>
  <c r="T15" i="5"/>
  <c r="O15" i="5"/>
  <c r="L15" i="5"/>
  <c r="F15" i="5"/>
  <c r="AP15" i="5" s="1"/>
  <c r="AM14" i="5"/>
  <c r="AN14" i="5" s="1"/>
  <c r="AO14" i="5" s="1"/>
  <c r="AJ14" i="5"/>
  <c r="AK14" i="5" s="1"/>
  <c r="AL14" i="5" s="1"/>
  <c r="AG14" i="5"/>
  <c r="AH14" i="5" s="1"/>
  <c r="AI14" i="5" s="1"/>
  <c r="AD14" i="5"/>
  <c r="AE14" i="5" s="1"/>
  <c r="AF14" i="5" s="1"/>
  <c r="T14" i="5"/>
  <c r="O14" i="5"/>
  <c r="L14" i="5"/>
  <c r="M14" i="5" s="1"/>
  <c r="F14" i="5"/>
  <c r="AP14" i="5" s="1"/>
  <c r="AM13" i="5"/>
  <c r="AN13" i="5" s="1"/>
  <c r="AO13" i="5" s="1"/>
  <c r="AJ13" i="5"/>
  <c r="AK13" i="5" s="1"/>
  <c r="AL13" i="5" s="1"/>
  <c r="AH13" i="5"/>
  <c r="AI13" i="5" s="1"/>
  <c r="AG13" i="5"/>
  <c r="AD13" i="5"/>
  <c r="AE13" i="5" s="1"/>
  <c r="AF13" i="5" s="1"/>
  <c r="T13" i="5"/>
  <c r="O13" i="5"/>
  <c r="L13" i="5"/>
  <c r="M13" i="5" s="1"/>
  <c r="F13" i="5"/>
  <c r="AP13" i="5" s="1"/>
  <c r="AM12" i="5"/>
  <c r="AN12" i="5" s="1"/>
  <c r="AO12" i="5" s="1"/>
  <c r="AJ12" i="5"/>
  <c r="AK12" i="5" s="1"/>
  <c r="AL12" i="5" s="1"/>
  <c r="AG12" i="5"/>
  <c r="AH12" i="5" s="1"/>
  <c r="AI12" i="5" s="1"/>
  <c r="AD12" i="5"/>
  <c r="AE12" i="5" s="1"/>
  <c r="AF12" i="5" s="1"/>
  <c r="T12" i="5"/>
  <c r="O12" i="5"/>
  <c r="L12" i="5"/>
  <c r="F12" i="5"/>
  <c r="G12" i="5" s="1"/>
  <c r="AM11" i="5"/>
  <c r="AN11" i="5" s="1"/>
  <c r="AO11" i="5" s="1"/>
  <c r="AJ11" i="5"/>
  <c r="AK11" i="5" s="1"/>
  <c r="AL11" i="5" s="1"/>
  <c r="AG11" i="5"/>
  <c r="AH11" i="5" s="1"/>
  <c r="AI11" i="5" s="1"/>
  <c r="AD11" i="5"/>
  <c r="AE11" i="5" s="1"/>
  <c r="AF11" i="5" s="1"/>
  <c r="T11" i="5"/>
  <c r="O11" i="5"/>
  <c r="L11" i="5"/>
  <c r="M11" i="5" s="1"/>
  <c r="F11" i="5"/>
  <c r="AP11" i="5" s="1"/>
  <c r="AM10" i="5"/>
  <c r="AN10" i="5" s="1"/>
  <c r="AO10" i="5" s="1"/>
  <c r="AJ10" i="5"/>
  <c r="AK10" i="5" s="1"/>
  <c r="AL10" i="5" s="1"/>
  <c r="AG10" i="5"/>
  <c r="AH10" i="5" s="1"/>
  <c r="AI10" i="5" s="1"/>
  <c r="AD10" i="5"/>
  <c r="AE10" i="5" s="1"/>
  <c r="AF10" i="5" s="1"/>
  <c r="T10" i="5"/>
  <c r="O10" i="5"/>
  <c r="L10" i="5"/>
  <c r="M10" i="5" s="1"/>
  <c r="F10" i="5"/>
  <c r="AP10" i="5" s="1"/>
  <c r="AM9" i="5"/>
  <c r="AN9" i="5" s="1"/>
  <c r="AO9" i="5" s="1"/>
  <c r="AL9" i="5"/>
  <c r="AJ9" i="5"/>
  <c r="AK9" i="5" s="1"/>
  <c r="AG9" i="5"/>
  <c r="AH9" i="5" s="1"/>
  <c r="AI9" i="5" s="1"/>
  <c r="AD9" i="5"/>
  <c r="AE9" i="5" s="1"/>
  <c r="AF9" i="5" s="1"/>
  <c r="T9" i="5"/>
  <c r="O9" i="5"/>
  <c r="L9" i="5"/>
  <c r="M9" i="5" s="1"/>
  <c r="F9" i="5"/>
  <c r="G9" i="5" s="1"/>
  <c r="AM8" i="5"/>
  <c r="AN8" i="5" s="1"/>
  <c r="AO8" i="5" s="1"/>
  <c r="AL8" i="5"/>
  <c r="AJ8" i="5"/>
  <c r="AK8" i="5" s="1"/>
  <c r="AG8" i="5"/>
  <c r="AH8" i="5" s="1"/>
  <c r="AI8" i="5" s="1"/>
  <c r="AD8" i="5"/>
  <c r="AE8" i="5" s="1"/>
  <c r="AF8" i="5" s="1"/>
  <c r="T8" i="5"/>
  <c r="O8" i="5"/>
  <c r="L8" i="5"/>
  <c r="M8" i="5" s="1"/>
  <c r="F8" i="5"/>
  <c r="AM7" i="5"/>
  <c r="AN7" i="5" s="1"/>
  <c r="AO7" i="5" s="1"/>
  <c r="AJ7" i="5"/>
  <c r="AK7" i="5" s="1"/>
  <c r="AL7" i="5" s="1"/>
  <c r="AG7" i="5"/>
  <c r="AH7" i="5" s="1"/>
  <c r="AI7" i="5" s="1"/>
  <c r="AD7" i="5"/>
  <c r="AE7" i="5" s="1"/>
  <c r="AF7" i="5" s="1"/>
  <c r="T7" i="5"/>
  <c r="O7" i="5"/>
  <c r="L7" i="5"/>
  <c r="M7" i="5" s="1"/>
  <c r="F7" i="5"/>
  <c r="AM6" i="5"/>
  <c r="AN6" i="5" s="1"/>
  <c r="AO6" i="5" s="1"/>
  <c r="AJ6" i="5"/>
  <c r="AK6" i="5" s="1"/>
  <c r="AL6" i="5" s="1"/>
  <c r="AH6" i="5"/>
  <c r="AI6" i="5" s="1"/>
  <c r="AG6" i="5"/>
  <c r="AD6" i="5"/>
  <c r="AE6" i="5" s="1"/>
  <c r="AF6" i="5" s="1"/>
  <c r="T6" i="5"/>
  <c r="O6" i="5"/>
  <c r="L6" i="5"/>
  <c r="M6" i="5" s="1"/>
  <c r="F6" i="5"/>
  <c r="AM5" i="5"/>
  <c r="AN5" i="5" s="1"/>
  <c r="AO5" i="5" s="1"/>
  <c r="AJ5" i="5"/>
  <c r="AK5" i="5" s="1"/>
  <c r="AL5" i="5" s="1"/>
  <c r="AG5" i="5"/>
  <c r="AH5" i="5" s="1"/>
  <c r="AI5" i="5" s="1"/>
  <c r="AD5" i="5"/>
  <c r="AE5" i="5" s="1"/>
  <c r="AF5" i="5" s="1"/>
  <c r="T5" i="5"/>
  <c r="O5" i="5"/>
  <c r="M5" i="5"/>
  <c r="L5" i="5"/>
  <c r="F5" i="5"/>
  <c r="AM4" i="5"/>
  <c r="AN4" i="5" s="1"/>
  <c r="AO4" i="5" s="1"/>
  <c r="AJ4" i="5"/>
  <c r="AK4" i="5" s="1"/>
  <c r="AL4" i="5" s="1"/>
  <c r="AH4" i="5"/>
  <c r="AI4" i="5" s="1"/>
  <c r="AG4" i="5"/>
  <c r="AD4" i="5"/>
  <c r="AE4" i="5" s="1"/>
  <c r="AF4" i="5" s="1"/>
  <c r="T4" i="5"/>
  <c r="O4" i="5"/>
  <c r="L4" i="5"/>
  <c r="M4" i="5" s="1"/>
  <c r="F4" i="5"/>
  <c r="AP3" i="5"/>
  <c r="AM3" i="5"/>
  <c r="AN3" i="5" s="1"/>
  <c r="AO3" i="5" s="1"/>
  <c r="AJ3" i="5"/>
  <c r="AK3" i="5" s="1"/>
  <c r="AG3" i="5"/>
  <c r="AD3" i="5"/>
  <c r="AE3" i="5" s="1"/>
  <c r="AF3" i="5" s="1"/>
  <c r="O3" i="5"/>
  <c r="L3" i="5"/>
  <c r="F3" i="5"/>
  <c r="G3" i="5" s="1"/>
  <c r="W92" i="2"/>
  <c r="X92" i="2"/>
  <c r="S92" i="2"/>
  <c r="Q9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N92" i="2"/>
  <c r="P92" i="2"/>
  <c r="AB3" i="2"/>
  <c r="AC3" i="2" s="1"/>
  <c r="AD3" i="2" s="1"/>
  <c r="AB4" i="2"/>
  <c r="AC4" i="2" s="1"/>
  <c r="AD4" i="2" s="1"/>
  <c r="AB5" i="2"/>
  <c r="AC5" i="2" s="1"/>
  <c r="AD5" i="2" s="1"/>
  <c r="AB6" i="2"/>
  <c r="AC6" i="2" s="1"/>
  <c r="AD6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AB14" i="2"/>
  <c r="AC14" i="2" s="1"/>
  <c r="AD14" i="2" s="1"/>
  <c r="AB15" i="2"/>
  <c r="AC15" i="2" s="1"/>
  <c r="AD15" i="2" s="1"/>
  <c r="AB16" i="2"/>
  <c r="AC16" i="2" s="1"/>
  <c r="AD16" i="2" s="1"/>
  <c r="AB17" i="2"/>
  <c r="AC17" i="2" s="1"/>
  <c r="AD17" i="2" s="1"/>
  <c r="AB18" i="2"/>
  <c r="AC18" i="2" s="1"/>
  <c r="AD18" i="2" s="1"/>
  <c r="AB19" i="2"/>
  <c r="AC19" i="2" s="1"/>
  <c r="AD19" i="2" s="1"/>
  <c r="AB20" i="2"/>
  <c r="AC20" i="2" s="1"/>
  <c r="AD20" i="2" s="1"/>
  <c r="AB21" i="2"/>
  <c r="AC21" i="2" s="1"/>
  <c r="AD21" i="2" s="1"/>
  <c r="AB22" i="2"/>
  <c r="AC22" i="2" s="1"/>
  <c r="AD22" i="2" s="1"/>
  <c r="AB23" i="2"/>
  <c r="AC23" i="2" s="1"/>
  <c r="AD23" i="2" s="1"/>
  <c r="AB24" i="2"/>
  <c r="AC24" i="2" s="1"/>
  <c r="AD24" i="2" s="1"/>
  <c r="AB25" i="2"/>
  <c r="AC25" i="2" s="1"/>
  <c r="AD25" i="2" s="1"/>
  <c r="AB26" i="2"/>
  <c r="AC26" i="2" s="1"/>
  <c r="AD26" i="2" s="1"/>
  <c r="AB27" i="2"/>
  <c r="AC27" i="2" s="1"/>
  <c r="AD27" i="2" s="1"/>
  <c r="AB28" i="2"/>
  <c r="AC28" i="2" s="1"/>
  <c r="AD28" i="2" s="1"/>
  <c r="AB29" i="2"/>
  <c r="AC29" i="2" s="1"/>
  <c r="AD29" i="2" s="1"/>
  <c r="AB30" i="2"/>
  <c r="AC30" i="2" s="1"/>
  <c r="AD30" i="2" s="1"/>
  <c r="AB31" i="2"/>
  <c r="AC31" i="2" s="1"/>
  <c r="AD31" i="2" s="1"/>
  <c r="AB32" i="2"/>
  <c r="AC32" i="2" s="1"/>
  <c r="AD32" i="2" s="1"/>
  <c r="AB33" i="2"/>
  <c r="AC33" i="2" s="1"/>
  <c r="AD33" i="2" s="1"/>
  <c r="AB34" i="2"/>
  <c r="AC34" i="2" s="1"/>
  <c r="AD34" i="2" s="1"/>
  <c r="AB35" i="2"/>
  <c r="AC35" i="2" s="1"/>
  <c r="AD35" i="2" s="1"/>
  <c r="AB36" i="2"/>
  <c r="AC36" i="2" s="1"/>
  <c r="AD36" i="2" s="1"/>
  <c r="AB37" i="2"/>
  <c r="AC37" i="2" s="1"/>
  <c r="AD37" i="2" s="1"/>
  <c r="AB38" i="2"/>
  <c r="AC38" i="2" s="1"/>
  <c r="AD38" i="2" s="1"/>
  <c r="AB39" i="2"/>
  <c r="AC39" i="2" s="1"/>
  <c r="AD39" i="2" s="1"/>
  <c r="AB40" i="2"/>
  <c r="AC40" i="2" s="1"/>
  <c r="AD40" i="2" s="1"/>
  <c r="AB41" i="2"/>
  <c r="AC41" i="2" s="1"/>
  <c r="AD41" i="2" s="1"/>
  <c r="AB42" i="2"/>
  <c r="AC42" i="2" s="1"/>
  <c r="AD42" i="2" s="1"/>
  <c r="AB43" i="2"/>
  <c r="AC43" i="2" s="1"/>
  <c r="AD43" i="2" s="1"/>
  <c r="AB44" i="2"/>
  <c r="AC44" i="2" s="1"/>
  <c r="AD44" i="2" s="1"/>
  <c r="AB45" i="2"/>
  <c r="AC45" i="2" s="1"/>
  <c r="AD45" i="2" s="1"/>
  <c r="AB46" i="2"/>
  <c r="AC46" i="2" s="1"/>
  <c r="AD46" i="2" s="1"/>
  <c r="AB47" i="2"/>
  <c r="AC47" i="2" s="1"/>
  <c r="AD47" i="2" s="1"/>
  <c r="AB48" i="2"/>
  <c r="AC48" i="2" s="1"/>
  <c r="AD48" i="2" s="1"/>
  <c r="AB49" i="2"/>
  <c r="AC49" i="2" s="1"/>
  <c r="AD49" i="2" s="1"/>
  <c r="AB50" i="2"/>
  <c r="AC50" i="2" s="1"/>
  <c r="AD50" i="2" s="1"/>
  <c r="AB51" i="2"/>
  <c r="AC51" i="2" s="1"/>
  <c r="AD51" i="2" s="1"/>
  <c r="AB52" i="2"/>
  <c r="AC52" i="2" s="1"/>
  <c r="AD52" i="2" s="1"/>
  <c r="AB53" i="2"/>
  <c r="AC53" i="2" s="1"/>
  <c r="AD53" i="2" s="1"/>
  <c r="AB54" i="2"/>
  <c r="AC54" i="2" s="1"/>
  <c r="AD54" i="2" s="1"/>
  <c r="AB55" i="2"/>
  <c r="AC55" i="2" s="1"/>
  <c r="AD55" i="2" s="1"/>
  <c r="AB56" i="2"/>
  <c r="AC56" i="2" s="1"/>
  <c r="AD56" i="2" s="1"/>
  <c r="AB57" i="2"/>
  <c r="AC57" i="2" s="1"/>
  <c r="AD57" i="2" s="1"/>
  <c r="AB58" i="2"/>
  <c r="AC58" i="2" s="1"/>
  <c r="AD58" i="2" s="1"/>
  <c r="AB59" i="2"/>
  <c r="AC59" i="2" s="1"/>
  <c r="AD59" i="2" s="1"/>
  <c r="AB60" i="2"/>
  <c r="AC60" i="2" s="1"/>
  <c r="AD60" i="2" s="1"/>
  <c r="AB61" i="2"/>
  <c r="AC61" i="2" s="1"/>
  <c r="AD61" i="2" s="1"/>
  <c r="AB62" i="2"/>
  <c r="AC62" i="2" s="1"/>
  <c r="AD62" i="2" s="1"/>
  <c r="AB63" i="2"/>
  <c r="AC63" i="2" s="1"/>
  <c r="AD63" i="2" s="1"/>
  <c r="AB64" i="2"/>
  <c r="AC64" i="2" s="1"/>
  <c r="AD64" i="2" s="1"/>
  <c r="AB65" i="2"/>
  <c r="AC65" i="2" s="1"/>
  <c r="AD65" i="2" s="1"/>
  <c r="AB66" i="2"/>
  <c r="AC66" i="2" s="1"/>
  <c r="AD66" i="2" s="1"/>
  <c r="AB67" i="2"/>
  <c r="AC67" i="2" s="1"/>
  <c r="AD67" i="2" s="1"/>
  <c r="AB68" i="2"/>
  <c r="AC68" i="2" s="1"/>
  <c r="AD68" i="2" s="1"/>
  <c r="AB69" i="2"/>
  <c r="AC69" i="2" s="1"/>
  <c r="AD69" i="2" s="1"/>
  <c r="AB70" i="2"/>
  <c r="AC70" i="2" s="1"/>
  <c r="AD70" i="2" s="1"/>
  <c r="AB71" i="2"/>
  <c r="AC71" i="2" s="1"/>
  <c r="AD71" i="2" s="1"/>
  <c r="AB72" i="2"/>
  <c r="AC72" i="2" s="1"/>
  <c r="AD72" i="2" s="1"/>
  <c r="AB73" i="2"/>
  <c r="AC73" i="2" s="1"/>
  <c r="AD73" i="2" s="1"/>
  <c r="AB74" i="2"/>
  <c r="AC74" i="2" s="1"/>
  <c r="AD74" i="2" s="1"/>
  <c r="AB75" i="2"/>
  <c r="AC75" i="2" s="1"/>
  <c r="AD75" i="2" s="1"/>
  <c r="AB76" i="2"/>
  <c r="AC76" i="2" s="1"/>
  <c r="AD76" i="2" s="1"/>
  <c r="AB77" i="2"/>
  <c r="AC77" i="2" s="1"/>
  <c r="AD77" i="2" s="1"/>
  <c r="AB78" i="2"/>
  <c r="AC78" i="2" s="1"/>
  <c r="AD78" i="2" s="1"/>
  <c r="AB79" i="2"/>
  <c r="AC79" i="2" s="1"/>
  <c r="AD79" i="2" s="1"/>
  <c r="AB80" i="2"/>
  <c r="AC80" i="2" s="1"/>
  <c r="AD80" i="2" s="1"/>
  <c r="AB81" i="2"/>
  <c r="AC81" i="2" s="1"/>
  <c r="AD81" i="2" s="1"/>
  <c r="AB82" i="2"/>
  <c r="AC82" i="2" s="1"/>
  <c r="AD82" i="2" s="1"/>
  <c r="AB83" i="2"/>
  <c r="AC83" i="2" s="1"/>
  <c r="AD83" i="2" s="1"/>
  <c r="AB84" i="2"/>
  <c r="AC84" i="2" s="1"/>
  <c r="AD84" i="2" s="1"/>
  <c r="AB85" i="2"/>
  <c r="AC85" i="2" s="1"/>
  <c r="AD85" i="2" s="1"/>
  <c r="AB86" i="2"/>
  <c r="AC86" i="2" s="1"/>
  <c r="AD86" i="2" s="1"/>
  <c r="AB87" i="2"/>
  <c r="AC87" i="2" s="1"/>
  <c r="AD87" i="2" s="1"/>
  <c r="AB88" i="2"/>
  <c r="AC88" i="2" s="1"/>
  <c r="AD88" i="2" s="1"/>
  <c r="AB89" i="2"/>
  <c r="AC89" i="2" s="1"/>
  <c r="AD89" i="2" s="1"/>
  <c r="AB90" i="2"/>
  <c r="AC90" i="2" s="1"/>
  <c r="AD90" i="2" s="1"/>
  <c r="AB91" i="2"/>
  <c r="AC91" i="2" s="1"/>
  <c r="AD91" i="2" s="1"/>
  <c r="T92" i="2"/>
  <c r="U92" i="2"/>
  <c r="G13" i="5" l="1"/>
  <c r="G18" i="5"/>
  <c r="G64" i="5"/>
  <c r="G34" i="5"/>
  <c r="G38" i="5"/>
  <c r="AP42" i="5"/>
  <c r="AP52" i="5"/>
  <c r="AP23" i="5"/>
  <c r="AP41" i="5"/>
  <c r="AP44" i="5"/>
  <c r="G46" i="5"/>
  <c r="G51" i="5"/>
  <c r="AP60" i="5"/>
  <c r="G88" i="5"/>
  <c r="G15" i="5"/>
  <c r="AP76" i="5"/>
  <c r="AP29" i="5"/>
  <c r="AP90" i="5"/>
  <c r="G47" i="5"/>
  <c r="AP36" i="5"/>
  <c r="G57" i="5"/>
  <c r="G73" i="5"/>
  <c r="AP83" i="5"/>
  <c r="G83" i="5"/>
  <c r="AP26" i="5"/>
  <c r="G26" i="5"/>
  <c r="AP28" i="5"/>
  <c r="G66" i="5"/>
  <c r="G84" i="5"/>
  <c r="AP84" i="5"/>
  <c r="X3" i="5"/>
  <c r="X92" i="5" s="1"/>
  <c r="Z92" i="5"/>
  <c r="G53" i="5"/>
  <c r="AP53" i="5"/>
  <c r="G59" i="5"/>
  <c r="AP59" i="5"/>
  <c r="G10" i="5"/>
  <c r="AP12" i="5"/>
  <c r="G14" i="5"/>
  <c r="AP20" i="5"/>
  <c r="G31" i="5"/>
  <c r="AP67" i="5"/>
  <c r="G80" i="5"/>
  <c r="T92" i="5"/>
  <c r="O92" i="5"/>
  <c r="AU4" i="5" s="1"/>
  <c r="G85" i="5"/>
  <c r="AP85" i="5"/>
  <c r="AP6" i="5"/>
  <c r="G6" i="5"/>
  <c r="AP9" i="5"/>
  <c r="G25" i="5"/>
  <c r="AP25" i="5"/>
  <c r="M29" i="5"/>
  <c r="AP5" i="5"/>
  <c r="G5" i="5"/>
  <c r="AP17" i="5"/>
  <c r="M20" i="5"/>
  <c r="G33" i="5"/>
  <c r="AP33" i="5"/>
  <c r="AP4" i="5"/>
  <c r="G4" i="5"/>
  <c r="M12" i="5"/>
  <c r="AJ92" i="5"/>
  <c r="AP16" i="5"/>
  <c r="G16" i="5"/>
  <c r="M21" i="5"/>
  <c r="AP7" i="5"/>
  <c r="G7" i="5"/>
  <c r="AK92" i="5"/>
  <c r="AL3" i="5"/>
  <c r="AL92" i="5" s="1"/>
  <c r="AP8" i="5"/>
  <c r="G8" i="5"/>
  <c r="M3" i="5"/>
  <c r="G11" i="5"/>
  <c r="M15" i="5"/>
  <c r="G19" i="5"/>
  <c r="AP22" i="5"/>
  <c r="M23" i="5"/>
  <c r="G27" i="5"/>
  <c r="AP30" i="5"/>
  <c r="M31" i="5"/>
  <c r="G35" i="5"/>
  <c r="M36" i="5"/>
  <c r="G45" i="5"/>
  <c r="AP45" i="5"/>
  <c r="M49" i="5"/>
  <c r="AP56" i="5"/>
  <c r="G56" i="5"/>
  <c r="AP65" i="5"/>
  <c r="G65" i="5"/>
  <c r="M68" i="5"/>
  <c r="M69" i="5"/>
  <c r="AP72" i="5"/>
  <c r="G72" i="5"/>
  <c r="F92" i="5"/>
  <c r="AD92" i="5"/>
  <c r="G24" i="5"/>
  <c r="G32" i="5"/>
  <c r="M58" i="5"/>
  <c r="M61" i="5"/>
  <c r="M74" i="5"/>
  <c r="M77" i="5"/>
  <c r="AE92" i="5"/>
  <c r="AM92" i="5"/>
  <c r="M41" i="5"/>
  <c r="AP62" i="5"/>
  <c r="G62" i="5"/>
  <c r="AP86" i="5"/>
  <c r="G86" i="5"/>
  <c r="G37" i="5"/>
  <c r="AP37" i="5"/>
  <c r="AF92" i="5"/>
  <c r="AN92" i="5"/>
  <c r="AP40" i="5"/>
  <c r="G40" i="5"/>
  <c r="AG92" i="5"/>
  <c r="AO92" i="5"/>
  <c r="M44" i="5"/>
  <c r="M52" i="5"/>
  <c r="AP63" i="5"/>
  <c r="G63" i="5"/>
  <c r="M84" i="5"/>
  <c r="AP79" i="5"/>
  <c r="G79" i="5"/>
  <c r="L92" i="5"/>
  <c r="AH3" i="5"/>
  <c r="AP50" i="5"/>
  <c r="G50" i="5"/>
  <c r="AP89" i="5"/>
  <c r="G89" i="5"/>
  <c r="AP55" i="5"/>
  <c r="G61" i="5"/>
  <c r="G77" i="5"/>
  <c r="AP78" i="5"/>
  <c r="AP43" i="5"/>
  <c r="AP87" i="5"/>
  <c r="G39" i="5"/>
  <c r="G69" i="5"/>
  <c r="M85" i="5"/>
  <c r="AP70" i="5"/>
  <c r="G49" i="5"/>
  <c r="AP61" i="5"/>
  <c r="G70" i="5"/>
  <c r="AP71" i="5"/>
  <c r="R92" i="2"/>
  <c r="AB92" i="2"/>
  <c r="AD92" i="2"/>
  <c r="AC92" i="2"/>
  <c r="G92" i="5" l="1"/>
  <c r="AU7" i="5"/>
  <c r="AP92" i="5"/>
  <c r="M92" i="5"/>
  <c r="AH92" i="5"/>
  <c r="AI3" i="5"/>
  <c r="AI92" i="5" s="1"/>
  <c r="AH3" i="2"/>
  <c r="AI3" i="2" s="1"/>
  <c r="AJ3" i="2" s="1"/>
  <c r="AH4" i="2"/>
  <c r="AI4" i="2" s="1"/>
  <c r="AJ4" i="2" s="1"/>
  <c r="AH5" i="2"/>
  <c r="AI5" i="2" s="1"/>
  <c r="AJ5" i="2" s="1"/>
  <c r="AH6" i="2"/>
  <c r="AI6" i="2" s="1"/>
  <c r="AJ6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H14" i="2"/>
  <c r="AI14" i="2" s="1"/>
  <c r="AJ14" i="2" s="1"/>
  <c r="AH15" i="2"/>
  <c r="AI15" i="2" s="1"/>
  <c r="AJ15" i="2" s="1"/>
  <c r="AH16" i="2"/>
  <c r="AI16" i="2" s="1"/>
  <c r="AJ16" i="2" s="1"/>
  <c r="AH17" i="2"/>
  <c r="AI17" i="2" s="1"/>
  <c r="AJ17" i="2" s="1"/>
  <c r="AH18" i="2"/>
  <c r="AI18" i="2" s="1"/>
  <c r="AJ18" i="2" s="1"/>
  <c r="AH19" i="2"/>
  <c r="AI19" i="2" s="1"/>
  <c r="AJ19" i="2" s="1"/>
  <c r="AH20" i="2"/>
  <c r="AI20" i="2" s="1"/>
  <c r="AJ20" i="2" s="1"/>
  <c r="AH21" i="2"/>
  <c r="AH22" i="2"/>
  <c r="AI22" i="2" s="1"/>
  <c r="AJ22" i="2" s="1"/>
  <c r="AH23" i="2"/>
  <c r="AI23" i="2" s="1"/>
  <c r="AJ23" i="2" s="1"/>
  <c r="AH24" i="2"/>
  <c r="AI24" i="2" s="1"/>
  <c r="AJ24" i="2" s="1"/>
  <c r="AH25" i="2"/>
  <c r="AI25" i="2" s="1"/>
  <c r="AJ25" i="2" s="1"/>
  <c r="AH26" i="2"/>
  <c r="AI26" i="2" s="1"/>
  <c r="AJ26" i="2" s="1"/>
  <c r="AH27" i="2"/>
  <c r="AI27" i="2" s="1"/>
  <c r="AJ27" i="2" s="1"/>
  <c r="AH28" i="2"/>
  <c r="AI28" i="2" s="1"/>
  <c r="AJ28" i="2" s="1"/>
  <c r="AH29" i="2"/>
  <c r="AH30" i="2"/>
  <c r="AI30" i="2" s="1"/>
  <c r="AJ30" i="2" s="1"/>
  <c r="AH31" i="2"/>
  <c r="AI31" i="2" s="1"/>
  <c r="AJ31" i="2" s="1"/>
  <c r="AH32" i="2"/>
  <c r="AI32" i="2" s="1"/>
  <c r="AJ32" i="2" s="1"/>
  <c r="AH33" i="2"/>
  <c r="AI33" i="2" s="1"/>
  <c r="AJ33" i="2" s="1"/>
  <c r="AH34" i="2"/>
  <c r="AI34" i="2" s="1"/>
  <c r="AJ34" i="2" s="1"/>
  <c r="AH35" i="2"/>
  <c r="AI35" i="2" s="1"/>
  <c r="AJ35" i="2" s="1"/>
  <c r="AH36" i="2"/>
  <c r="AI36" i="2" s="1"/>
  <c r="AJ36" i="2" s="1"/>
  <c r="AH37" i="2"/>
  <c r="AI37" i="2" s="1"/>
  <c r="AJ37" i="2" s="1"/>
  <c r="AH38" i="2"/>
  <c r="AI38" i="2" s="1"/>
  <c r="AJ38" i="2" s="1"/>
  <c r="AH39" i="2"/>
  <c r="AI39" i="2" s="1"/>
  <c r="AJ39" i="2" s="1"/>
  <c r="AH40" i="2"/>
  <c r="AI40" i="2" s="1"/>
  <c r="AJ40" i="2" s="1"/>
  <c r="AH41" i="2"/>
  <c r="AI41" i="2" s="1"/>
  <c r="AJ41" i="2" s="1"/>
  <c r="AH42" i="2"/>
  <c r="AI42" i="2" s="1"/>
  <c r="AJ42" i="2" s="1"/>
  <c r="AH43" i="2"/>
  <c r="AI43" i="2" s="1"/>
  <c r="AJ43" i="2" s="1"/>
  <c r="AH44" i="2"/>
  <c r="AI44" i="2" s="1"/>
  <c r="AJ44" i="2" s="1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H54" i="2"/>
  <c r="AI54" i="2" s="1"/>
  <c r="AJ54" i="2" s="1"/>
  <c r="AH55" i="2"/>
  <c r="AI55" i="2" s="1"/>
  <c r="AJ55" i="2" s="1"/>
  <c r="AH56" i="2"/>
  <c r="AI56" i="2" s="1"/>
  <c r="AJ56" i="2" s="1"/>
  <c r="AH57" i="2"/>
  <c r="AI57" i="2" s="1"/>
  <c r="AJ57" i="2" s="1"/>
  <c r="AH58" i="2"/>
  <c r="AI58" i="2" s="1"/>
  <c r="AJ58" i="2" s="1"/>
  <c r="AH59" i="2"/>
  <c r="AI59" i="2" s="1"/>
  <c r="AJ59" i="2" s="1"/>
  <c r="AH60" i="2"/>
  <c r="AI60" i="2" s="1"/>
  <c r="AJ60" i="2" s="1"/>
  <c r="AH61" i="2"/>
  <c r="AH62" i="2"/>
  <c r="AI62" i="2" s="1"/>
  <c r="AJ62" i="2" s="1"/>
  <c r="AH63" i="2"/>
  <c r="AI63" i="2" s="1"/>
  <c r="AJ63" i="2" s="1"/>
  <c r="AH64" i="2"/>
  <c r="AI64" i="2" s="1"/>
  <c r="AJ64" i="2" s="1"/>
  <c r="AH65" i="2"/>
  <c r="AI65" i="2" s="1"/>
  <c r="AJ65" i="2" s="1"/>
  <c r="AH66" i="2"/>
  <c r="AI66" i="2" s="1"/>
  <c r="AJ66" i="2" s="1"/>
  <c r="AH67" i="2"/>
  <c r="AH68" i="2"/>
  <c r="AI68" i="2" s="1"/>
  <c r="AJ68" i="2" s="1"/>
  <c r="AH69" i="2"/>
  <c r="AH70" i="2"/>
  <c r="AI70" i="2" s="1"/>
  <c r="AJ70" i="2" s="1"/>
  <c r="AH71" i="2"/>
  <c r="AI71" i="2" s="1"/>
  <c r="AJ71" i="2" s="1"/>
  <c r="AH72" i="2"/>
  <c r="AI72" i="2" s="1"/>
  <c r="AJ72" i="2" s="1"/>
  <c r="AH73" i="2"/>
  <c r="AI73" i="2" s="1"/>
  <c r="AJ73" i="2" s="1"/>
  <c r="AH74" i="2"/>
  <c r="AI74" i="2" s="1"/>
  <c r="AJ74" i="2" s="1"/>
  <c r="AH75" i="2"/>
  <c r="AI75" i="2" s="1"/>
  <c r="AJ75" i="2" s="1"/>
  <c r="AH76" i="2"/>
  <c r="AI76" i="2" s="1"/>
  <c r="AJ76" i="2" s="1"/>
  <c r="AH77" i="2"/>
  <c r="AH78" i="2"/>
  <c r="AI78" i="2" s="1"/>
  <c r="AJ78" i="2" s="1"/>
  <c r="AH79" i="2"/>
  <c r="AI79" i="2" s="1"/>
  <c r="AJ79" i="2" s="1"/>
  <c r="AH80" i="2"/>
  <c r="AI80" i="2" s="1"/>
  <c r="AJ80" i="2" s="1"/>
  <c r="AH81" i="2"/>
  <c r="AI81" i="2" s="1"/>
  <c r="AJ81" i="2" s="1"/>
  <c r="AH82" i="2"/>
  <c r="AI82" i="2" s="1"/>
  <c r="AJ82" i="2" s="1"/>
  <c r="AH83" i="2"/>
  <c r="AI83" i="2" s="1"/>
  <c r="AJ83" i="2" s="1"/>
  <c r="AH84" i="2"/>
  <c r="AI84" i="2" s="1"/>
  <c r="AJ84" i="2" s="1"/>
  <c r="AH85" i="2"/>
  <c r="AH86" i="2"/>
  <c r="AI86" i="2" s="1"/>
  <c r="AJ86" i="2" s="1"/>
  <c r="AH87" i="2"/>
  <c r="AI87" i="2" s="1"/>
  <c r="AJ87" i="2" s="1"/>
  <c r="AH88" i="2"/>
  <c r="AI88" i="2" s="1"/>
  <c r="AJ88" i="2" s="1"/>
  <c r="AH89" i="2"/>
  <c r="AI89" i="2" s="1"/>
  <c r="AJ89" i="2" s="1"/>
  <c r="AH90" i="2"/>
  <c r="AI90" i="2" s="1"/>
  <c r="AJ90" i="2" s="1"/>
  <c r="AH91" i="2"/>
  <c r="AI91" i="2" s="1"/>
  <c r="AJ91" i="2" s="1"/>
  <c r="AE3" i="2"/>
  <c r="AF3" i="2" s="1"/>
  <c r="AG3" i="2" s="1"/>
  <c r="AE4" i="2"/>
  <c r="AF4" i="2" s="1"/>
  <c r="AG4" i="2" s="1"/>
  <c r="AE5" i="2"/>
  <c r="AF5" i="2" s="1"/>
  <c r="AG5" i="2" s="1"/>
  <c r="AE6" i="2"/>
  <c r="AF6" i="2" s="1"/>
  <c r="AG6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E14" i="2"/>
  <c r="AF14" i="2" s="1"/>
  <c r="AG14" i="2" s="1"/>
  <c r="AE15" i="2"/>
  <c r="AF15" i="2" s="1"/>
  <c r="AG15" i="2" s="1"/>
  <c r="AE16" i="2"/>
  <c r="AF16" i="2" s="1"/>
  <c r="AG16" i="2" s="1"/>
  <c r="AE17" i="2"/>
  <c r="AF17" i="2" s="1"/>
  <c r="AG17" i="2" s="1"/>
  <c r="AE18" i="2"/>
  <c r="AF18" i="2" s="1"/>
  <c r="AG18" i="2" s="1"/>
  <c r="AE19" i="2"/>
  <c r="AE20" i="2"/>
  <c r="AE21" i="2"/>
  <c r="AF21" i="2" s="1"/>
  <c r="AG21" i="2" s="1"/>
  <c r="AE22" i="2"/>
  <c r="AF22" i="2" s="1"/>
  <c r="AG22" i="2" s="1"/>
  <c r="AE23" i="2"/>
  <c r="AF23" i="2" s="1"/>
  <c r="AG23" i="2" s="1"/>
  <c r="AE24" i="2"/>
  <c r="AF24" i="2" s="1"/>
  <c r="AG24" i="2" s="1"/>
  <c r="AE25" i="2"/>
  <c r="AF25" i="2" s="1"/>
  <c r="AG25" i="2" s="1"/>
  <c r="AE26" i="2"/>
  <c r="AF26" i="2" s="1"/>
  <c r="AG26" i="2" s="1"/>
  <c r="AE27" i="2"/>
  <c r="AF27" i="2" s="1"/>
  <c r="AG27" i="2" s="1"/>
  <c r="AE28" i="2"/>
  <c r="AF28" i="2" s="1"/>
  <c r="AG28" i="2" s="1"/>
  <c r="AE29" i="2"/>
  <c r="AF29" i="2" s="1"/>
  <c r="AG29" i="2" s="1"/>
  <c r="AE30" i="2"/>
  <c r="AF30" i="2" s="1"/>
  <c r="AG30" i="2" s="1"/>
  <c r="AE31" i="2"/>
  <c r="AF31" i="2" s="1"/>
  <c r="AG31" i="2" s="1"/>
  <c r="AE32" i="2"/>
  <c r="AF32" i="2" s="1"/>
  <c r="AG32" i="2" s="1"/>
  <c r="AE33" i="2"/>
  <c r="AF33" i="2" s="1"/>
  <c r="AG33" i="2" s="1"/>
  <c r="AE34" i="2"/>
  <c r="AF34" i="2" s="1"/>
  <c r="AG34" i="2" s="1"/>
  <c r="AE35" i="2"/>
  <c r="AF35" i="2" s="1"/>
  <c r="AG35" i="2" s="1"/>
  <c r="AE36" i="2"/>
  <c r="AF36" i="2" s="1"/>
  <c r="AG36" i="2" s="1"/>
  <c r="AE37" i="2"/>
  <c r="AF37" i="2" s="1"/>
  <c r="AG37" i="2" s="1"/>
  <c r="AE38" i="2"/>
  <c r="AF38" i="2" s="1"/>
  <c r="AG38" i="2" s="1"/>
  <c r="AE39" i="2"/>
  <c r="AF39" i="2" s="1"/>
  <c r="AG39" i="2" s="1"/>
  <c r="AE40" i="2"/>
  <c r="AF40" i="2" s="1"/>
  <c r="AG40" i="2" s="1"/>
  <c r="AE41" i="2"/>
  <c r="AF41" i="2" s="1"/>
  <c r="AG41" i="2" s="1"/>
  <c r="AE42" i="2"/>
  <c r="AF42" i="2" s="1"/>
  <c r="AG42" i="2" s="1"/>
  <c r="AE43" i="2"/>
  <c r="AF43" i="2" s="1"/>
  <c r="AG43" i="2" s="1"/>
  <c r="AE44" i="2"/>
  <c r="AF44" i="2" s="1"/>
  <c r="AG44" i="2" s="1"/>
  <c r="AE45" i="2"/>
  <c r="AF45" i="2" s="1"/>
  <c r="AG45" i="2" s="1"/>
  <c r="AE46" i="2"/>
  <c r="AF46" i="2" s="1"/>
  <c r="AG46" i="2" s="1"/>
  <c r="AE47" i="2"/>
  <c r="AF47" i="2" s="1"/>
  <c r="AG47" i="2" s="1"/>
  <c r="AE48" i="2"/>
  <c r="AF48" i="2" s="1"/>
  <c r="AG48" i="2" s="1"/>
  <c r="AE49" i="2"/>
  <c r="AF49" i="2" s="1"/>
  <c r="AG49" i="2" s="1"/>
  <c r="AE50" i="2"/>
  <c r="AF50" i="2" s="1"/>
  <c r="AG50" i="2" s="1"/>
  <c r="AE51" i="2"/>
  <c r="AE52" i="2"/>
  <c r="AF52" i="2" s="1"/>
  <c r="AG52" i="2" s="1"/>
  <c r="AE53" i="2"/>
  <c r="AF53" i="2" s="1"/>
  <c r="AG53" i="2" s="1"/>
  <c r="AE54" i="2"/>
  <c r="AF54" i="2" s="1"/>
  <c r="AG54" i="2" s="1"/>
  <c r="AE55" i="2"/>
  <c r="AF55" i="2" s="1"/>
  <c r="AG55" i="2" s="1"/>
  <c r="AE56" i="2"/>
  <c r="AF56" i="2" s="1"/>
  <c r="AG56" i="2" s="1"/>
  <c r="AE57" i="2"/>
  <c r="AF57" i="2" s="1"/>
  <c r="AG57" i="2" s="1"/>
  <c r="AE58" i="2"/>
  <c r="AF58" i="2" s="1"/>
  <c r="AG58" i="2" s="1"/>
  <c r="AE59" i="2"/>
  <c r="AF59" i="2" s="1"/>
  <c r="AG59" i="2" s="1"/>
  <c r="AE60" i="2"/>
  <c r="AF60" i="2" s="1"/>
  <c r="AG60" i="2" s="1"/>
  <c r="AE61" i="2"/>
  <c r="AF61" i="2" s="1"/>
  <c r="AG61" i="2" s="1"/>
  <c r="AE62" i="2"/>
  <c r="AF62" i="2" s="1"/>
  <c r="AG62" i="2" s="1"/>
  <c r="AE63" i="2"/>
  <c r="AF63" i="2" s="1"/>
  <c r="AG63" i="2" s="1"/>
  <c r="AE64" i="2"/>
  <c r="AF64" i="2" s="1"/>
  <c r="AG64" i="2" s="1"/>
  <c r="AE65" i="2"/>
  <c r="AF65" i="2" s="1"/>
  <c r="AG65" i="2" s="1"/>
  <c r="AE66" i="2"/>
  <c r="AF66" i="2" s="1"/>
  <c r="AG66" i="2" s="1"/>
  <c r="AE67" i="2"/>
  <c r="AF67" i="2" s="1"/>
  <c r="AG67" i="2" s="1"/>
  <c r="AE68" i="2"/>
  <c r="AF68" i="2" s="1"/>
  <c r="AG68" i="2" s="1"/>
  <c r="AE69" i="2"/>
  <c r="AF69" i="2" s="1"/>
  <c r="AG69" i="2" s="1"/>
  <c r="AE70" i="2"/>
  <c r="AF70" i="2" s="1"/>
  <c r="AG70" i="2" s="1"/>
  <c r="AE71" i="2"/>
  <c r="AF71" i="2" s="1"/>
  <c r="AG71" i="2" s="1"/>
  <c r="AE72" i="2"/>
  <c r="AF72" i="2" s="1"/>
  <c r="AG72" i="2" s="1"/>
  <c r="AE73" i="2"/>
  <c r="AF73" i="2" s="1"/>
  <c r="AG73" i="2" s="1"/>
  <c r="AE74" i="2"/>
  <c r="AF74" i="2" s="1"/>
  <c r="AG74" i="2" s="1"/>
  <c r="AE75" i="2"/>
  <c r="AF75" i="2" s="1"/>
  <c r="AG75" i="2" s="1"/>
  <c r="AE76" i="2"/>
  <c r="AE77" i="2"/>
  <c r="AF77" i="2" s="1"/>
  <c r="AG77" i="2" s="1"/>
  <c r="AE78" i="2"/>
  <c r="AF78" i="2" s="1"/>
  <c r="AG78" i="2" s="1"/>
  <c r="AE79" i="2"/>
  <c r="AF79" i="2" s="1"/>
  <c r="AG79" i="2" s="1"/>
  <c r="AE80" i="2"/>
  <c r="AF80" i="2" s="1"/>
  <c r="AG80" i="2" s="1"/>
  <c r="AE81" i="2"/>
  <c r="AF81" i="2" s="1"/>
  <c r="AG81" i="2" s="1"/>
  <c r="AE82" i="2"/>
  <c r="AF82" i="2" s="1"/>
  <c r="AG82" i="2" s="1"/>
  <c r="AE83" i="2"/>
  <c r="AF83" i="2" s="1"/>
  <c r="AG83" i="2" s="1"/>
  <c r="AE84" i="2"/>
  <c r="AF84" i="2" s="1"/>
  <c r="AG84" i="2" s="1"/>
  <c r="AE85" i="2"/>
  <c r="AF85" i="2" s="1"/>
  <c r="AG85" i="2" s="1"/>
  <c r="AE86" i="2"/>
  <c r="AF86" i="2" s="1"/>
  <c r="AG86" i="2" s="1"/>
  <c r="AE87" i="2"/>
  <c r="AF87" i="2" s="1"/>
  <c r="AG87" i="2" s="1"/>
  <c r="AE88" i="2"/>
  <c r="AF88" i="2" s="1"/>
  <c r="AG88" i="2" s="1"/>
  <c r="AE89" i="2"/>
  <c r="AF89" i="2" s="1"/>
  <c r="AG89" i="2" s="1"/>
  <c r="AE90" i="2"/>
  <c r="AF90" i="2" s="1"/>
  <c r="AG90" i="2" s="1"/>
  <c r="AE91" i="2"/>
  <c r="AF91" i="2" s="1"/>
  <c r="AG91" i="2" s="1"/>
  <c r="Y3" i="2"/>
  <c r="Y4" i="2"/>
  <c r="Z4" i="2" s="1"/>
  <c r="AA4" i="2" s="1"/>
  <c r="Y5" i="2"/>
  <c r="Z5" i="2" s="1"/>
  <c r="AA5" i="2" s="1"/>
  <c r="Y6" i="2"/>
  <c r="Z6" i="2" s="1"/>
  <c r="AA6" i="2" s="1"/>
  <c r="Y7" i="2"/>
  <c r="Z7" i="2" s="1"/>
  <c r="AA7" i="2" s="1"/>
  <c r="Y8" i="2"/>
  <c r="Z8" i="2" s="1"/>
  <c r="AA8" i="2" s="1"/>
  <c r="Y9" i="2"/>
  <c r="Z9" i="2" s="1"/>
  <c r="AA9" i="2" s="1"/>
  <c r="Y10" i="2"/>
  <c r="Z10" i="2" s="1"/>
  <c r="AA10" i="2" s="1"/>
  <c r="Y11" i="2"/>
  <c r="Z11" i="2" s="1"/>
  <c r="AA11" i="2" s="1"/>
  <c r="Y12" i="2"/>
  <c r="Z12" i="2" s="1"/>
  <c r="AA12" i="2" s="1"/>
  <c r="Y13" i="2"/>
  <c r="Z13" i="2" s="1"/>
  <c r="AA13" i="2" s="1"/>
  <c r="Y14" i="2"/>
  <c r="Z14" i="2" s="1"/>
  <c r="AA14" i="2" s="1"/>
  <c r="Y15" i="2"/>
  <c r="Z15" i="2" s="1"/>
  <c r="AA15" i="2" s="1"/>
  <c r="Y16" i="2"/>
  <c r="Z16" i="2" s="1"/>
  <c r="AA16" i="2" s="1"/>
  <c r="Y17" i="2"/>
  <c r="Z17" i="2" s="1"/>
  <c r="AA17" i="2" s="1"/>
  <c r="Y18" i="2"/>
  <c r="Z18" i="2" s="1"/>
  <c r="AA18" i="2" s="1"/>
  <c r="Y19" i="2"/>
  <c r="Z19" i="2" s="1"/>
  <c r="AA19" i="2" s="1"/>
  <c r="Y20" i="2"/>
  <c r="Z20" i="2" s="1"/>
  <c r="AA20" i="2" s="1"/>
  <c r="Y21" i="2"/>
  <c r="Z21" i="2" s="1"/>
  <c r="AA21" i="2" s="1"/>
  <c r="Y22" i="2"/>
  <c r="Z22" i="2" s="1"/>
  <c r="AA22" i="2" s="1"/>
  <c r="Y23" i="2"/>
  <c r="Z23" i="2" s="1"/>
  <c r="AA23" i="2" s="1"/>
  <c r="Y24" i="2"/>
  <c r="Z24" i="2" s="1"/>
  <c r="AA24" i="2" s="1"/>
  <c r="Y25" i="2"/>
  <c r="Z25" i="2" s="1"/>
  <c r="AA25" i="2" s="1"/>
  <c r="Y26" i="2"/>
  <c r="Z26" i="2" s="1"/>
  <c r="AA26" i="2" s="1"/>
  <c r="Y27" i="2"/>
  <c r="Z27" i="2" s="1"/>
  <c r="AA27" i="2" s="1"/>
  <c r="Y28" i="2"/>
  <c r="Z28" i="2" s="1"/>
  <c r="AA28" i="2" s="1"/>
  <c r="Y29" i="2"/>
  <c r="Z29" i="2" s="1"/>
  <c r="AA29" i="2" s="1"/>
  <c r="Y30" i="2"/>
  <c r="Z30" i="2" s="1"/>
  <c r="AA30" i="2" s="1"/>
  <c r="Y31" i="2"/>
  <c r="Z31" i="2" s="1"/>
  <c r="AA31" i="2" s="1"/>
  <c r="Y32" i="2"/>
  <c r="Z32" i="2" s="1"/>
  <c r="AA32" i="2" s="1"/>
  <c r="Y33" i="2"/>
  <c r="Z33" i="2" s="1"/>
  <c r="AA33" i="2" s="1"/>
  <c r="Y34" i="2"/>
  <c r="Z34" i="2" s="1"/>
  <c r="AA34" i="2" s="1"/>
  <c r="Y35" i="2"/>
  <c r="Z35" i="2" s="1"/>
  <c r="AA35" i="2" s="1"/>
  <c r="Y36" i="2"/>
  <c r="Z36" i="2" s="1"/>
  <c r="AA36" i="2" s="1"/>
  <c r="Y37" i="2"/>
  <c r="Z37" i="2" s="1"/>
  <c r="AA37" i="2" s="1"/>
  <c r="Y38" i="2"/>
  <c r="Z38" i="2" s="1"/>
  <c r="AA38" i="2" s="1"/>
  <c r="Y39" i="2"/>
  <c r="Z39" i="2" s="1"/>
  <c r="AA39" i="2" s="1"/>
  <c r="Y40" i="2"/>
  <c r="Z40" i="2" s="1"/>
  <c r="AA40" i="2" s="1"/>
  <c r="Y41" i="2"/>
  <c r="Z41" i="2" s="1"/>
  <c r="AA41" i="2" s="1"/>
  <c r="Y42" i="2"/>
  <c r="Z42" i="2" s="1"/>
  <c r="AA42" i="2" s="1"/>
  <c r="Y43" i="2"/>
  <c r="Z43" i="2" s="1"/>
  <c r="AA43" i="2" s="1"/>
  <c r="Y44" i="2"/>
  <c r="Z44" i="2" s="1"/>
  <c r="AA44" i="2" s="1"/>
  <c r="Y45" i="2"/>
  <c r="Z45" i="2" s="1"/>
  <c r="AA45" i="2" s="1"/>
  <c r="Y46" i="2"/>
  <c r="Z46" i="2" s="1"/>
  <c r="AA46" i="2" s="1"/>
  <c r="Y47" i="2"/>
  <c r="Z47" i="2" s="1"/>
  <c r="AA47" i="2" s="1"/>
  <c r="Y48" i="2"/>
  <c r="Z48" i="2" s="1"/>
  <c r="AA48" i="2" s="1"/>
  <c r="Y49" i="2"/>
  <c r="Z49" i="2" s="1"/>
  <c r="AA49" i="2" s="1"/>
  <c r="Y50" i="2"/>
  <c r="Z50" i="2" s="1"/>
  <c r="AA50" i="2" s="1"/>
  <c r="Y51" i="2"/>
  <c r="Z51" i="2" s="1"/>
  <c r="AA51" i="2" s="1"/>
  <c r="Y52" i="2"/>
  <c r="Z52" i="2" s="1"/>
  <c r="AA52" i="2" s="1"/>
  <c r="Y53" i="2"/>
  <c r="Z53" i="2" s="1"/>
  <c r="AA53" i="2" s="1"/>
  <c r="Y54" i="2"/>
  <c r="Z54" i="2" s="1"/>
  <c r="AA54" i="2" s="1"/>
  <c r="Y55" i="2"/>
  <c r="Z55" i="2" s="1"/>
  <c r="AA55" i="2" s="1"/>
  <c r="Y56" i="2"/>
  <c r="Z56" i="2" s="1"/>
  <c r="AA56" i="2" s="1"/>
  <c r="Y57" i="2"/>
  <c r="Z57" i="2" s="1"/>
  <c r="AA57" i="2" s="1"/>
  <c r="Y58" i="2"/>
  <c r="Z58" i="2" s="1"/>
  <c r="AA58" i="2" s="1"/>
  <c r="Y59" i="2"/>
  <c r="Z59" i="2" s="1"/>
  <c r="AA59" i="2" s="1"/>
  <c r="Y60" i="2"/>
  <c r="Z60" i="2" s="1"/>
  <c r="AA60" i="2" s="1"/>
  <c r="Y61" i="2"/>
  <c r="Z61" i="2" s="1"/>
  <c r="AA61" i="2" s="1"/>
  <c r="Y62" i="2"/>
  <c r="Z62" i="2" s="1"/>
  <c r="AA62" i="2" s="1"/>
  <c r="Y63" i="2"/>
  <c r="Z63" i="2" s="1"/>
  <c r="AA63" i="2" s="1"/>
  <c r="Y64" i="2"/>
  <c r="Z64" i="2" s="1"/>
  <c r="AA64" i="2" s="1"/>
  <c r="Y65" i="2"/>
  <c r="Z65" i="2" s="1"/>
  <c r="AA65" i="2" s="1"/>
  <c r="Y66" i="2"/>
  <c r="Z66" i="2" s="1"/>
  <c r="AA66" i="2" s="1"/>
  <c r="Y67" i="2"/>
  <c r="Y68" i="2"/>
  <c r="Z68" i="2" s="1"/>
  <c r="AA68" i="2" s="1"/>
  <c r="Y69" i="2"/>
  <c r="Z69" i="2" s="1"/>
  <c r="AA69" i="2" s="1"/>
  <c r="Y70" i="2"/>
  <c r="Z70" i="2" s="1"/>
  <c r="AA70" i="2" s="1"/>
  <c r="Y71" i="2"/>
  <c r="Z71" i="2" s="1"/>
  <c r="AA71" i="2" s="1"/>
  <c r="Y72" i="2"/>
  <c r="Z72" i="2" s="1"/>
  <c r="AA72" i="2" s="1"/>
  <c r="Y73" i="2"/>
  <c r="Z73" i="2" s="1"/>
  <c r="AA73" i="2" s="1"/>
  <c r="Y74" i="2"/>
  <c r="Z74" i="2" s="1"/>
  <c r="AA74" i="2" s="1"/>
  <c r="Y75" i="2"/>
  <c r="Z75" i="2" s="1"/>
  <c r="AA75" i="2" s="1"/>
  <c r="Y76" i="2"/>
  <c r="Z76" i="2" s="1"/>
  <c r="AA76" i="2" s="1"/>
  <c r="Y77" i="2"/>
  <c r="Z77" i="2" s="1"/>
  <c r="AA77" i="2" s="1"/>
  <c r="Y78" i="2"/>
  <c r="Z78" i="2" s="1"/>
  <c r="AA78" i="2" s="1"/>
  <c r="Y79" i="2"/>
  <c r="Z79" i="2" s="1"/>
  <c r="AA79" i="2" s="1"/>
  <c r="Y80" i="2"/>
  <c r="Z80" i="2" s="1"/>
  <c r="AA80" i="2" s="1"/>
  <c r="Y81" i="2"/>
  <c r="Z81" i="2" s="1"/>
  <c r="AA81" i="2" s="1"/>
  <c r="Y82" i="2"/>
  <c r="Z82" i="2" s="1"/>
  <c r="AA82" i="2" s="1"/>
  <c r="Y83" i="2"/>
  <c r="Z83" i="2" s="1"/>
  <c r="AA83" i="2" s="1"/>
  <c r="Y84" i="2"/>
  <c r="Z84" i="2" s="1"/>
  <c r="AA84" i="2" s="1"/>
  <c r="Y85" i="2"/>
  <c r="Z85" i="2" s="1"/>
  <c r="AA85" i="2" s="1"/>
  <c r="Y86" i="2"/>
  <c r="Z86" i="2" s="1"/>
  <c r="AA86" i="2" s="1"/>
  <c r="Y87" i="2"/>
  <c r="Z87" i="2" s="1"/>
  <c r="AA87" i="2" s="1"/>
  <c r="Y88" i="2"/>
  <c r="Z88" i="2" s="1"/>
  <c r="AA88" i="2" s="1"/>
  <c r="Y89" i="2"/>
  <c r="Z89" i="2" s="1"/>
  <c r="AA89" i="2" s="1"/>
  <c r="Y90" i="2"/>
  <c r="Z90" i="2" s="1"/>
  <c r="AA90" i="2" s="1"/>
  <c r="Y91" i="2"/>
  <c r="Z91" i="2" s="1"/>
  <c r="AA91" i="2" s="1"/>
  <c r="AF19" i="2"/>
  <c r="AG19" i="2" s="1"/>
  <c r="AF20" i="2"/>
  <c r="AG20" i="2" s="1"/>
  <c r="AF51" i="2"/>
  <c r="AG51" i="2" s="1"/>
  <c r="AF76" i="2"/>
  <c r="AG76" i="2" s="1"/>
  <c r="AI21" i="2"/>
  <c r="AJ21" i="2" s="1"/>
  <c r="AI29" i="2"/>
  <c r="AJ29" i="2" s="1"/>
  <c r="AI45" i="2"/>
  <c r="AJ45" i="2" s="1"/>
  <c r="AI53" i="2"/>
  <c r="AJ53" i="2" s="1"/>
  <c r="AI61" i="2"/>
  <c r="AJ61" i="2" s="1"/>
  <c r="AI69" i="2"/>
  <c r="AJ69" i="2" s="1"/>
  <c r="AI77" i="2"/>
  <c r="AJ77" i="2" s="1"/>
  <c r="AI85" i="2"/>
  <c r="AJ85" i="2" s="1"/>
  <c r="D92" i="2"/>
  <c r="Z3" i="2" l="1"/>
  <c r="AA3" i="2" s="1"/>
  <c r="Y92" i="2"/>
  <c r="AG92" i="2"/>
  <c r="AF92" i="2"/>
  <c r="Z67" i="2"/>
  <c r="AE92" i="2"/>
  <c r="AI67" i="2"/>
  <c r="AH92" i="2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L75" i="2"/>
  <c r="M75" i="2" s="1"/>
  <c r="L76" i="2"/>
  <c r="M76" i="2" s="1"/>
  <c r="L77" i="2"/>
  <c r="M77" i="2" s="1"/>
  <c r="L78" i="2"/>
  <c r="L79" i="2"/>
  <c r="M79" i="2" s="1"/>
  <c r="L80" i="2"/>
  <c r="M80" i="2" s="1"/>
  <c r="L81" i="2"/>
  <c r="M81" i="2" s="1"/>
  <c r="L82" i="2"/>
  <c r="M82" i="2" s="1"/>
  <c r="L83" i="2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3" i="2"/>
  <c r="M3" i="2" s="1"/>
  <c r="L4" i="2"/>
  <c r="M4" i="2" s="1"/>
  <c r="O86" i="2"/>
  <c r="O21" i="2"/>
  <c r="AI92" i="2" l="1"/>
  <c r="AJ67" i="2"/>
  <c r="AJ92" i="2" s="1"/>
  <c r="Z92" i="2"/>
  <c r="AA67" i="2"/>
  <c r="AA92" i="2" s="1"/>
  <c r="M74" i="2"/>
  <c r="L92" i="2"/>
  <c r="M83" i="2"/>
  <c r="M78" i="2"/>
  <c r="M54" i="2"/>
  <c r="M30" i="2"/>
  <c r="M22" i="2"/>
  <c r="J12" i="1"/>
  <c r="O34" i="2"/>
  <c r="O40" i="2"/>
  <c r="O42" i="2"/>
  <c r="O43" i="2"/>
  <c r="O41" i="2"/>
  <c r="O39" i="2"/>
  <c r="O53" i="2"/>
  <c r="O55" i="2"/>
  <c r="O58" i="2"/>
  <c r="O60" i="2"/>
  <c r="O57" i="2"/>
  <c r="O48" i="2"/>
  <c r="O45" i="2"/>
  <c r="O44" i="2"/>
  <c r="O28" i="2"/>
  <c r="O26" i="2"/>
  <c r="O27" i="2"/>
  <c r="O32" i="2"/>
  <c r="O46" i="2"/>
  <c r="O51" i="2"/>
  <c r="O91" i="2"/>
  <c r="O63" i="2"/>
  <c r="O56" i="2"/>
  <c r="O54" i="2"/>
  <c r="O62" i="2"/>
  <c r="O59" i="2"/>
  <c r="O61" i="2"/>
  <c r="O66" i="2"/>
  <c r="O70" i="2"/>
  <c r="O71" i="2"/>
  <c r="O72" i="2"/>
  <c r="O52" i="2"/>
  <c r="O90" i="2"/>
  <c r="O47" i="2"/>
  <c r="O49" i="2"/>
  <c r="O6" i="2"/>
  <c r="O10" i="2"/>
  <c r="O18" i="2"/>
  <c r="O17" i="2"/>
  <c r="O25" i="2"/>
  <c r="O20" i="2"/>
  <c r="O29" i="2"/>
  <c r="O64" i="2"/>
  <c r="O65" i="2"/>
  <c r="O76" i="2"/>
  <c r="O83" i="2"/>
  <c r="O67" i="2"/>
  <c r="O69" i="2"/>
  <c r="O68" i="2"/>
  <c r="O81" i="2"/>
  <c r="O82" i="2"/>
  <c r="O15" i="2"/>
  <c r="O14" i="2"/>
  <c r="O5" i="2"/>
  <c r="O19" i="2"/>
  <c r="O3" i="2"/>
  <c r="O9" i="2"/>
  <c r="O12" i="2"/>
  <c r="O16" i="2"/>
  <c r="O13" i="2"/>
  <c r="O78" i="2"/>
  <c r="O77" i="2"/>
  <c r="O79" i="2"/>
  <c r="O80" i="2"/>
  <c r="O22" i="2"/>
  <c r="O24" i="2"/>
  <c r="O23" i="2"/>
  <c r="O50" i="2"/>
  <c r="O84" i="2"/>
  <c r="O89" i="2"/>
  <c r="O88" i="2"/>
  <c r="O87" i="2"/>
  <c r="O8" i="2"/>
  <c r="O85" i="2"/>
  <c r="O33" i="2"/>
  <c r="O35" i="2"/>
  <c r="O7" i="2"/>
  <c r="O11" i="2"/>
  <c r="O4" i="2"/>
  <c r="O73" i="2"/>
  <c r="O74" i="2"/>
  <c r="O75" i="2"/>
  <c r="O30" i="2"/>
  <c r="O31" i="2"/>
  <c r="O36" i="2"/>
  <c r="O37" i="2"/>
  <c r="O38" i="2"/>
  <c r="C15" i="1"/>
  <c r="F6" i="2"/>
  <c r="F15" i="2"/>
  <c r="F14" i="2"/>
  <c r="F7" i="2"/>
  <c r="F22" i="2"/>
  <c r="F47" i="2"/>
  <c r="F49" i="2"/>
  <c r="F56" i="2"/>
  <c r="F54" i="2"/>
  <c r="F53" i="2"/>
  <c r="F55" i="2"/>
  <c r="F67" i="2"/>
  <c r="F69" i="2"/>
  <c r="F68" i="2"/>
  <c r="F74" i="2"/>
  <c r="F73" i="2"/>
  <c r="F71" i="2"/>
  <c r="F78" i="2"/>
  <c r="F77" i="2"/>
  <c r="F89" i="2"/>
  <c r="F64" i="2"/>
  <c r="F19" i="2"/>
  <c r="F3" i="2"/>
  <c r="F9" i="2"/>
  <c r="F12" i="2"/>
  <c r="F10" i="2"/>
  <c r="F8" i="2"/>
  <c r="F11" i="2"/>
  <c r="F4" i="2"/>
  <c r="F36" i="2"/>
  <c r="F37" i="2"/>
  <c r="F38" i="2"/>
  <c r="F40" i="2"/>
  <c r="F42" i="2"/>
  <c r="F43" i="2"/>
  <c r="F41" i="2"/>
  <c r="F39" i="2"/>
  <c r="F32" i="2"/>
  <c r="F33" i="2"/>
  <c r="F90" i="2"/>
  <c r="F28" i="2"/>
  <c r="F82" i="2"/>
  <c r="F20" i="2"/>
  <c r="F24" i="2"/>
  <c r="F30" i="2"/>
  <c r="F88" i="2"/>
  <c r="F31" i="2"/>
  <c r="F46" i="2"/>
  <c r="F62" i="2"/>
  <c r="F59" i="2"/>
  <c r="F61" i="2"/>
  <c r="F63" i="2"/>
  <c r="F58" i="2"/>
  <c r="F60" i="2"/>
  <c r="F52" i="2"/>
  <c r="F45" i="2"/>
  <c r="F66" i="2"/>
  <c r="F70" i="2"/>
  <c r="F72" i="2"/>
  <c r="F75" i="2"/>
  <c r="F91" i="2"/>
  <c r="F83" i="2"/>
  <c r="F79" i="2"/>
  <c r="F76" i="2"/>
  <c r="F81" i="2"/>
  <c r="F86" i="2"/>
  <c r="F65" i="2"/>
  <c r="F16" i="2"/>
  <c r="F13" i="2"/>
  <c r="F18" i="2"/>
  <c r="F17" i="2"/>
  <c r="F34" i="2"/>
  <c r="F35" i="2"/>
  <c r="F21" i="2"/>
  <c r="F23" i="2"/>
  <c r="F29" i="2"/>
  <c r="F26" i="2"/>
  <c r="F27" i="2"/>
  <c r="F87" i="2"/>
  <c r="F48" i="2"/>
  <c r="F57" i="2"/>
  <c r="F50" i="2"/>
  <c r="F51" i="2"/>
  <c r="F44" i="2"/>
  <c r="F80" i="2"/>
  <c r="F84" i="2"/>
  <c r="F85" i="2"/>
  <c r="F25" i="2"/>
  <c r="F5" i="2"/>
  <c r="B23" i="1"/>
  <c r="C24" i="1" l="1"/>
  <c r="AU5" i="5"/>
  <c r="AU6" i="5" s="1"/>
  <c r="K16" i="5"/>
  <c r="K29" i="5"/>
  <c r="K61" i="5"/>
  <c r="AP5" i="2"/>
  <c r="K90" i="5"/>
  <c r="K27" i="5"/>
  <c r="K59" i="5"/>
  <c r="K45" i="5"/>
  <c r="K8" i="5"/>
  <c r="K33" i="5"/>
  <c r="K78" i="5"/>
  <c r="K42" i="5"/>
  <c r="K66" i="5"/>
  <c r="K56" i="5"/>
  <c r="K65" i="5"/>
  <c r="K57" i="5"/>
  <c r="K50" i="5"/>
  <c r="K87" i="5"/>
  <c r="K84" i="5"/>
  <c r="K40" i="5"/>
  <c r="K28" i="5"/>
  <c r="K34" i="5"/>
  <c r="K77" i="5"/>
  <c r="K13" i="5"/>
  <c r="K38" i="5"/>
  <c r="K91" i="5"/>
  <c r="K74" i="5"/>
  <c r="K31" i="5"/>
  <c r="K11" i="5"/>
  <c r="K41" i="5"/>
  <c r="K69" i="5"/>
  <c r="K17" i="5"/>
  <c r="K88" i="5"/>
  <c r="K68" i="5"/>
  <c r="K23" i="5"/>
  <c r="K43" i="5"/>
  <c r="K36" i="5"/>
  <c r="K6" i="5"/>
  <c r="K10" i="5"/>
  <c r="K46" i="5"/>
  <c r="K58" i="5"/>
  <c r="K15" i="5"/>
  <c r="K12" i="5"/>
  <c r="K39" i="5"/>
  <c r="K25" i="5"/>
  <c r="K24" i="5"/>
  <c r="K83" i="5"/>
  <c r="K52" i="5"/>
  <c r="K3" i="5"/>
  <c r="K72" i="5"/>
  <c r="K79" i="5"/>
  <c r="K62" i="5"/>
  <c r="K18" i="5"/>
  <c r="K73" i="5"/>
  <c r="K44" i="5"/>
  <c r="K35" i="5"/>
  <c r="K20" i="5"/>
  <c r="K49" i="5"/>
  <c r="K81" i="5"/>
  <c r="K86" i="5"/>
  <c r="K64" i="5"/>
  <c r="K30" i="5"/>
  <c r="K19" i="5"/>
  <c r="K21" i="5"/>
  <c r="K63" i="5"/>
  <c r="K32" i="5"/>
  <c r="K85" i="5"/>
  <c r="K53" i="5"/>
  <c r="K22" i="5"/>
  <c r="K82" i="5"/>
  <c r="K37" i="5"/>
  <c r="K70" i="5"/>
  <c r="K89" i="5"/>
  <c r="K9" i="5"/>
  <c r="K47" i="5"/>
  <c r="K14" i="5"/>
  <c r="K26" i="5"/>
  <c r="K5" i="5"/>
  <c r="K55" i="5"/>
  <c r="K71" i="5"/>
  <c r="K4" i="5"/>
  <c r="K80" i="5"/>
  <c r="K7" i="5"/>
  <c r="K75" i="5"/>
  <c r="K54" i="5"/>
  <c r="K48" i="5"/>
  <c r="K60" i="5"/>
  <c r="K67" i="5"/>
  <c r="K76" i="5"/>
  <c r="K51" i="5"/>
  <c r="O92" i="2"/>
  <c r="AP4" i="2" s="1"/>
  <c r="AP6" i="2" s="1"/>
  <c r="F92" i="2"/>
  <c r="M92" i="2"/>
  <c r="AK86" i="2"/>
  <c r="AK37" i="2"/>
  <c r="AK36" i="2"/>
  <c r="AK21" i="2"/>
  <c r="AK79" i="2"/>
  <c r="AK27" i="2"/>
  <c r="AK85" i="2"/>
  <c r="AK33" i="2"/>
  <c r="AK60" i="2"/>
  <c r="AK47" i="2"/>
  <c r="AK80" i="2"/>
  <c r="AK26" i="2"/>
  <c r="AK13" i="2"/>
  <c r="AK91" i="2"/>
  <c r="AK58" i="2"/>
  <c r="AK30" i="2"/>
  <c r="AK39" i="2"/>
  <c r="AK4" i="2"/>
  <c r="AK64" i="2"/>
  <c r="AK69" i="2"/>
  <c r="AK22" i="2"/>
  <c r="AK87" i="2"/>
  <c r="AK31" i="2"/>
  <c r="AK49" i="2"/>
  <c r="AK83" i="2"/>
  <c r="AK19" i="2"/>
  <c r="AK44" i="2"/>
  <c r="AK63" i="2"/>
  <c r="AK89" i="2"/>
  <c r="AK51" i="2"/>
  <c r="AK23" i="2"/>
  <c r="AK65" i="2"/>
  <c r="AK72" i="2"/>
  <c r="AK61" i="2"/>
  <c r="AK20" i="2"/>
  <c r="AK43" i="2"/>
  <c r="AK8" i="2"/>
  <c r="AK77" i="2"/>
  <c r="AK55" i="2"/>
  <c r="AK14" i="2"/>
  <c r="AK84" i="2"/>
  <c r="AK18" i="2"/>
  <c r="AK32" i="2"/>
  <c r="AK68" i="2"/>
  <c r="AK29" i="2"/>
  <c r="AK24" i="2"/>
  <c r="AK67" i="2"/>
  <c r="AK50" i="2"/>
  <c r="AK70" i="2"/>
  <c r="AK59" i="2"/>
  <c r="AK82" i="2"/>
  <c r="AK42" i="2"/>
  <c r="AK10" i="2"/>
  <c r="AK78" i="2"/>
  <c r="AK53" i="2"/>
  <c r="AK15" i="2"/>
  <c r="AK17" i="2"/>
  <c r="AK74" i="2"/>
  <c r="AK88" i="2"/>
  <c r="AK16" i="2"/>
  <c r="AK41" i="2"/>
  <c r="AK7" i="2"/>
  <c r="AK57" i="2"/>
  <c r="AK66" i="2"/>
  <c r="AK40" i="2"/>
  <c r="AK71" i="2"/>
  <c r="AK6" i="2"/>
  <c r="AK52" i="2"/>
  <c r="AK3" i="2"/>
  <c r="AK75" i="2"/>
  <c r="AK11" i="2"/>
  <c r="AK5" i="2"/>
  <c r="AK35" i="2"/>
  <c r="AK81" i="2"/>
  <c r="AK62" i="2"/>
  <c r="AK28" i="2"/>
  <c r="AK12" i="2"/>
  <c r="AK54" i="2"/>
  <c r="AK25" i="2"/>
  <c r="AK48" i="2"/>
  <c r="AK34" i="2"/>
  <c r="AK76" i="2"/>
  <c r="AK45" i="2"/>
  <c r="AK46" i="2"/>
  <c r="AK90" i="2"/>
  <c r="AK38" i="2"/>
  <c r="AK9" i="2"/>
  <c r="AK73" i="2"/>
  <c r="AK56" i="2"/>
  <c r="G67" i="2"/>
  <c r="G72" i="2"/>
  <c r="G50" i="2"/>
  <c r="G18" i="2"/>
  <c r="G70" i="2"/>
  <c r="G88" i="2"/>
  <c r="G42" i="2"/>
  <c r="G19" i="2"/>
  <c r="G53" i="2"/>
  <c r="B26" i="1"/>
  <c r="G44" i="2"/>
  <c r="G43" i="2"/>
  <c r="G55" i="2"/>
  <c r="G13" i="2"/>
  <c r="G24" i="2"/>
  <c r="G65" i="2"/>
  <c r="G52" i="2"/>
  <c r="G20" i="2"/>
  <c r="G37" i="2"/>
  <c r="G77" i="2"/>
  <c r="G49" i="2"/>
  <c r="G75" i="2"/>
  <c r="G45" i="2"/>
  <c r="G56" i="2"/>
  <c r="G27" i="2"/>
  <c r="G86" i="2"/>
  <c r="G60" i="2"/>
  <c r="G82" i="2"/>
  <c r="G36" i="2"/>
  <c r="G78" i="2"/>
  <c r="G47" i="2"/>
  <c r="G31" i="2"/>
  <c r="G66" i="2"/>
  <c r="G38" i="2"/>
  <c r="G87" i="2"/>
  <c r="G5" i="2"/>
  <c r="G26" i="2"/>
  <c r="G81" i="2"/>
  <c r="G58" i="2"/>
  <c r="G28" i="2"/>
  <c r="G4" i="2"/>
  <c r="G71" i="2"/>
  <c r="G22" i="2"/>
  <c r="G34" i="2"/>
  <c r="G57" i="2"/>
  <c r="G30" i="2"/>
  <c r="G48" i="2"/>
  <c r="G29" i="2"/>
  <c r="G63" i="2"/>
  <c r="G90" i="2"/>
  <c r="G11" i="2"/>
  <c r="G73" i="2"/>
  <c r="G7" i="2"/>
  <c r="G41" i="2"/>
  <c r="G51" i="2"/>
  <c r="G64" i="2"/>
  <c r="G16" i="2"/>
  <c r="G85" i="2"/>
  <c r="G61" i="2"/>
  <c r="G8" i="2"/>
  <c r="G74" i="2"/>
  <c r="G14" i="2"/>
  <c r="G9" i="2"/>
  <c r="G17" i="2"/>
  <c r="G3" i="2"/>
  <c r="G40" i="2"/>
  <c r="G89" i="2"/>
  <c r="G25" i="2"/>
  <c r="G76" i="2"/>
  <c r="G23" i="2"/>
  <c r="G79" i="2"/>
  <c r="G33" i="2"/>
  <c r="G84" i="2"/>
  <c r="G21" i="2"/>
  <c r="G83" i="2"/>
  <c r="G59" i="2"/>
  <c r="G32" i="2"/>
  <c r="G10" i="2"/>
  <c r="G68" i="2"/>
  <c r="G15" i="2"/>
  <c r="G46" i="2"/>
  <c r="G54" i="2"/>
  <c r="G80" i="2"/>
  <c r="G35" i="2"/>
  <c r="G91" i="2"/>
  <c r="G62" i="2"/>
  <c r="G39" i="2"/>
  <c r="G12" i="2"/>
  <c r="G69" i="2"/>
  <c r="G6" i="2"/>
  <c r="C23" i="1"/>
  <c r="J80" i="5" l="1"/>
  <c r="AQ80" i="5"/>
  <c r="AR80" i="5" s="1"/>
  <c r="J82" i="5"/>
  <c r="AQ82" i="5"/>
  <c r="AR82" i="5" s="1"/>
  <c r="J49" i="5"/>
  <c r="AQ49" i="5"/>
  <c r="AR49" i="5" s="1"/>
  <c r="AQ24" i="5"/>
  <c r="AR24" i="5" s="1"/>
  <c r="J24" i="5"/>
  <c r="J68" i="5"/>
  <c r="AQ68" i="5"/>
  <c r="AR68" i="5" s="1"/>
  <c r="J34" i="5"/>
  <c r="AQ34" i="5"/>
  <c r="AR34" i="5" s="1"/>
  <c r="AQ33" i="5"/>
  <c r="AR33" i="5" s="1"/>
  <c r="J33" i="5"/>
  <c r="AQ4" i="5"/>
  <c r="AR4" i="5" s="1"/>
  <c r="J4" i="5"/>
  <c r="J22" i="5"/>
  <c r="AQ22" i="5"/>
  <c r="AR22" i="5" s="1"/>
  <c r="J20" i="5"/>
  <c r="AQ20" i="5"/>
  <c r="AR20" i="5" s="1"/>
  <c r="J25" i="5"/>
  <c r="AQ25" i="5"/>
  <c r="AR25" i="5" s="1"/>
  <c r="J88" i="5"/>
  <c r="AQ88" i="5"/>
  <c r="AR88" i="5" s="1"/>
  <c r="J28" i="5"/>
  <c r="AQ28" i="5"/>
  <c r="AR28" i="5" s="1"/>
  <c r="J8" i="5"/>
  <c r="AQ8" i="5"/>
  <c r="AR8" i="5" s="1"/>
  <c r="J71" i="5"/>
  <c r="AQ71" i="5"/>
  <c r="AR71" i="5" s="1"/>
  <c r="AQ53" i="5"/>
  <c r="AR53" i="5" s="1"/>
  <c r="J53" i="5"/>
  <c r="J35" i="5"/>
  <c r="AQ35" i="5"/>
  <c r="AR35" i="5" s="1"/>
  <c r="J39" i="5"/>
  <c r="AQ39" i="5"/>
  <c r="AR39" i="5" s="1"/>
  <c r="J17" i="5"/>
  <c r="AQ17" i="5"/>
  <c r="AR17" i="5" s="1"/>
  <c r="J40" i="5"/>
  <c r="AQ40" i="5"/>
  <c r="AR40" i="5" s="1"/>
  <c r="AQ45" i="5"/>
  <c r="AR45" i="5" s="1"/>
  <c r="J45" i="5"/>
  <c r="AQ48" i="5"/>
  <c r="AR48" i="5" s="1"/>
  <c r="J48" i="5"/>
  <c r="J55" i="5"/>
  <c r="AQ55" i="5"/>
  <c r="AR55" i="5" s="1"/>
  <c r="J85" i="5"/>
  <c r="AQ85" i="5"/>
  <c r="AR85" i="5" s="1"/>
  <c r="J44" i="5"/>
  <c r="AQ44" i="5"/>
  <c r="AR44" i="5" s="1"/>
  <c r="J12" i="5"/>
  <c r="AQ12" i="5"/>
  <c r="AR12" i="5" s="1"/>
  <c r="J69" i="5"/>
  <c r="AQ69" i="5"/>
  <c r="AR69" i="5" s="1"/>
  <c r="J84" i="5"/>
  <c r="AQ84" i="5"/>
  <c r="AR84" i="5" s="1"/>
  <c r="AQ59" i="5"/>
  <c r="AR59" i="5" s="1"/>
  <c r="J59" i="5"/>
  <c r="J51" i="5"/>
  <c r="AQ51" i="5"/>
  <c r="AR51" i="5" s="1"/>
  <c r="AQ5" i="5"/>
  <c r="AR5" i="5" s="1"/>
  <c r="J5" i="5"/>
  <c r="J32" i="5"/>
  <c r="AQ32" i="5"/>
  <c r="AR32" i="5" s="1"/>
  <c r="J73" i="5"/>
  <c r="AQ73" i="5"/>
  <c r="AR73" i="5" s="1"/>
  <c r="J15" i="5"/>
  <c r="AQ15" i="5"/>
  <c r="AR15" i="5" s="1"/>
  <c r="J41" i="5"/>
  <c r="AQ41" i="5"/>
  <c r="AR41" i="5" s="1"/>
  <c r="J87" i="5"/>
  <c r="AQ87" i="5"/>
  <c r="AR87" i="5" s="1"/>
  <c r="J27" i="5"/>
  <c r="AQ27" i="5"/>
  <c r="AR27" i="5" s="1"/>
  <c r="J76" i="5"/>
  <c r="AQ76" i="5"/>
  <c r="AR76" i="5" s="1"/>
  <c r="J26" i="5"/>
  <c r="AQ26" i="5"/>
  <c r="AR26" i="5" s="1"/>
  <c r="J63" i="5"/>
  <c r="AQ63" i="5"/>
  <c r="AR63" i="5" s="1"/>
  <c r="J18" i="5"/>
  <c r="AQ18" i="5"/>
  <c r="AR18" i="5" s="1"/>
  <c r="J58" i="5"/>
  <c r="AQ58" i="5"/>
  <c r="AR58" i="5" s="1"/>
  <c r="J11" i="5"/>
  <c r="AQ11" i="5"/>
  <c r="AR11" i="5" s="1"/>
  <c r="AQ50" i="5"/>
  <c r="AR50" i="5" s="1"/>
  <c r="J50" i="5"/>
  <c r="J90" i="5"/>
  <c r="AQ90" i="5"/>
  <c r="AR90" i="5" s="1"/>
  <c r="J72" i="5"/>
  <c r="AQ72" i="5"/>
  <c r="AR72" i="5" s="1"/>
  <c r="K92" i="5"/>
  <c r="J92" i="5" s="1"/>
  <c r="AQ67" i="5"/>
  <c r="AR67" i="5" s="1"/>
  <c r="J67" i="5"/>
  <c r="J14" i="5"/>
  <c r="AQ14" i="5"/>
  <c r="AR14" i="5" s="1"/>
  <c r="J21" i="5"/>
  <c r="AQ21" i="5"/>
  <c r="AR21" i="5" s="1"/>
  <c r="J62" i="5"/>
  <c r="AQ62" i="5"/>
  <c r="AR62" i="5" s="1"/>
  <c r="J46" i="5"/>
  <c r="AQ46" i="5"/>
  <c r="AR46" i="5" s="1"/>
  <c r="J31" i="5"/>
  <c r="AQ31" i="5"/>
  <c r="AR31" i="5" s="1"/>
  <c r="J57" i="5"/>
  <c r="AQ57" i="5"/>
  <c r="AR57" i="5" s="1"/>
  <c r="J30" i="5"/>
  <c r="AQ30" i="5"/>
  <c r="AR30" i="5" s="1"/>
  <c r="J60" i="5"/>
  <c r="AQ60" i="5"/>
  <c r="AR60" i="5" s="1"/>
  <c r="J47" i="5"/>
  <c r="AQ47" i="5"/>
  <c r="AR47" i="5" s="1"/>
  <c r="J19" i="5"/>
  <c r="AQ19" i="5"/>
  <c r="AR19" i="5" s="1"/>
  <c r="J79" i="5"/>
  <c r="AQ79" i="5"/>
  <c r="AR79" i="5" s="1"/>
  <c r="J10" i="5"/>
  <c r="AQ10" i="5"/>
  <c r="AR10" i="5" s="1"/>
  <c r="J74" i="5"/>
  <c r="AQ74" i="5"/>
  <c r="AR74" i="5" s="1"/>
  <c r="J65" i="5"/>
  <c r="AQ65" i="5"/>
  <c r="AR65" i="5" s="1"/>
  <c r="J61" i="5"/>
  <c r="AQ61" i="5"/>
  <c r="AR61" i="5" s="1"/>
  <c r="J29" i="5"/>
  <c r="AQ29" i="5"/>
  <c r="AR29" i="5" s="1"/>
  <c r="J91" i="5"/>
  <c r="AQ91" i="5"/>
  <c r="AR91" i="5" s="1"/>
  <c r="AQ54" i="5"/>
  <c r="AR54" i="5" s="1"/>
  <c r="J54" i="5"/>
  <c r="J89" i="5"/>
  <c r="AQ89" i="5"/>
  <c r="AR89" i="5" s="1"/>
  <c r="J64" i="5"/>
  <c r="AQ64" i="5"/>
  <c r="AR64" i="5" s="1"/>
  <c r="AQ3" i="5"/>
  <c r="J3" i="5"/>
  <c r="J36" i="5"/>
  <c r="AQ36" i="5"/>
  <c r="AR36" i="5" s="1"/>
  <c r="J38" i="5"/>
  <c r="AQ38" i="5"/>
  <c r="AR38" i="5" s="1"/>
  <c r="J66" i="5"/>
  <c r="AQ66" i="5"/>
  <c r="AR66" i="5" s="1"/>
  <c r="AQ16" i="5"/>
  <c r="AR16" i="5" s="1"/>
  <c r="J16" i="5"/>
  <c r="J9" i="5"/>
  <c r="AQ9" i="5"/>
  <c r="AR9" i="5" s="1"/>
  <c r="J6" i="5"/>
  <c r="AQ6" i="5"/>
  <c r="AR6" i="5" s="1"/>
  <c r="J56" i="5"/>
  <c r="AQ56" i="5"/>
  <c r="AR56" i="5" s="1"/>
  <c r="AQ75" i="5"/>
  <c r="AR75" i="5" s="1"/>
  <c r="J75" i="5"/>
  <c r="AQ70" i="5"/>
  <c r="AR70" i="5" s="1"/>
  <c r="J70" i="5"/>
  <c r="J86" i="5"/>
  <c r="AQ86" i="5"/>
  <c r="AR86" i="5" s="1"/>
  <c r="J52" i="5"/>
  <c r="AQ52" i="5"/>
  <c r="AR52" i="5" s="1"/>
  <c r="J43" i="5"/>
  <c r="AQ43" i="5"/>
  <c r="AR43" i="5" s="1"/>
  <c r="AQ13" i="5"/>
  <c r="AR13" i="5" s="1"/>
  <c r="J13" i="5"/>
  <c r="J42" i="5"/>
  <c r="AQ42" i="5"/>
  <c r="AR42" i="5" s="1"/>
  <c r="J7" i="5"/>
  <c r="AQ7" i="5"/>
  <c r="AR7" i="5" s="1"/>
  <c r="J37" i="5"/>
  <c r="AQ37" i="5"/>
  <c r="AR37" i="5" s="1"/>
  <c r="J81" i="5"/>
  <c r="AQ81" i="5"/>
  <c r="AR81" i="5" s="1"/>
  <c r="AQ83" i="5"/>
  <c r="AR83" i="5" s="1"/>
  <c r="J83" i="5"/>
  <c r="J23" i="5"/>
  <c r="AQ23" i="5"/>
  <c r="AR23" i="5" s="1"/>
  <c r="J77" i="5"/>
  <c r="AQ77" i="5"/>
  <c r="AR77" i="5" s="1"/>
  <c r="AQ78" i="5"/>
  <c r="AR78" i="5" s="1"/>
  <c r="J78" i="5"/>
  <c r="AK92" i="2"/>
  <c r="G92" i="2"/>
  <c r="AP7" i="2"/>
  <c r="AR3" i="5" l="1"/>
  <c r="AR92" i="5" s="1"/>
  <c r="AQ92" i="5"/>
  <c r="K81" i="2"/>
  <c r="K6" i="2"/>
  <c r="K32" i="2"/>
  <c r="K38" i="2"/>
  <c r="K91" i="2"/>
  <c r="K48" i="2"/>
  <c r="K16" i="2"/>
  <c r="K7" i="2"/>
  <c r="K61" i="2"/>
  <c r="K37" i="2"/>
  <c r="K42" i="2"/>
  <c r="K71" i="2"/>
  <c r="K14" i="2"/>
  <c r="K25" i="2"/>
  <c r="K66" i="2"/>
  <c r="K76" i="2"/>
  <c r="K36" i="2"/>
  <c r="K79" i="2"/>
  <c r="K58" i="2"/>
  <c r="K46" i="2"/>
  <c r="K75" i="2"/>
  <c r="K45" i="2"/>
  <c r="K20" i="2"/>
  <c r="K51" i="2"/>
  <c r="K10" i="2"/>
  <c r="K57" i="2"/>
  <c r="K90" i="2"/>
  <c r="K62" i="2"/>
  <c r="K9" i="2"/>
  <c r="K19" i="2"/>
  <c r="K3" i="2"/>
  <c r="K30" i="2"/>
  <c r="K73" i="2"/>
  <c r="K63" i="2"/>
  <c r="K56" i="2"/>
  <c r="K43" i="2"/>
  <c r="K50" i="2"/>
  <c r="K78" i="2"/>
  <c r="K59" i="2"/>
  <c r="K52" i="2"/>
  <c r="K28" i="2"/>
  <c r="K87" i="2"/>
  <c r="K68" i="2"/>
  <c r="K84" i="2"/>
  <c r="K39" i="2"/>
  <c r="K31" i="2"/>
  <c r="K24" i="2"/>
  <c r="K85" i="2"/>
  <c r="K8" i="2"/>
  <c r="K21" i="2"/>
  <c r="K53" i="2"/>
  <c r="K22" i="2"/>
  <c r="K74" i="2"/>
  <c r="K40" i="2"/>
  <c r="K27" i="2"/>
  <c r="K47" i="2"/>
  <c r="K18" i="2"/>
  <c r="K64" i="2"/>
  <c r="K49" i="2"/>
  <c r="K41" i="2"/>
  <c r="K33" i="2"/>
  <c r="K77" i="2"/>
  <c r="K86" i="2"/>
  <c r="K15" i="2"/>
  <c r="K26" i="2"/>
  <c r="K89" i="2"/>
  <c r="K5" i="2"/>
  <c r="K12" i="2"/>
  <c r="K83" i="2"/>
  <c r="K80" i="2"/>
  <c r="K69" i="2"/>
  <c r="K11" i="2"/>
  <c r="K23" i="2"/>
  <c r="K55" i="2"/>
  <c r="K70" i="2"/>
  <c r="K60" i="2"/>
  <c r="K44" i="2"/>
  <c r="K35" i="2"/>
  <c r="K54" i="2"/>
  <c r="K88" i="2"/>
  <c r="K34" i="2"/>
  <c r="K13" i="2"/>
  <c r="K29" i="2"/>
  <c r="K67" i="2"/>
  <c r="K72" i="2"/>
  <c r="K17" i="2"/>
  <c r="K82" i="2"/>
  <c r="K65" i="2"/>
  <c r="K4" i="2"/>
  <c r="J4" i="2" s="1"/>
  <c r="K92" i="2" l="1"/>
  <c r="J92" i="2" s="1"/>
  <c r="AL65" i="2"/>
  <c r="AM65" i="2" s="1"/>
  <c r="J65" i="2"/>
  <c r="J51" i="2"/>
  <c r="AL51" i="2"/>
  <c r="AM51" i="2" s="1"/>
  <c r="J54" i="2"/>
  <c r="AL54" i="2"/>
  <c r="AM54" i="2" s="1"/>
  <c r="J86" i="2"/>
  <c r="AL86" i="2"/>
  <c r="AM86" i="2" s="1"/>
  <c r="AL27" i="2"/>
  <c r="AM27" i="2" s="1"/>
  <c r="J27" i="2"/>
  <c r="AL24" i="2"/>
  <c r="AM24" i="2" s="1"/>
  <c r="J24" i="2"/>
  <c r="J59" i="2"/>
  <c r="AL59" i="2"/>
  <c r="AM59" i="2" s="1"/>
  <c r="J3" i="2"/>
  <c r="AL3" i="2"/>
  <c r="J20" i="2"/>
  <c r="AL20" i="2"/>
  <c r="AM20" i="2" s="1"/>
  <c r="J66" i="2"/>
  <c r="AL66" i="2"/>
  <c r="AM66" i="2" s="1"/>
  <c r="J16" i="2"/>
  <c r="AL16" i="2"/>
  <c r="AM16" i="2" s="1"/>
  <c r="AL85" i="2"/>
  <c r="AM85" i="2" s="1"/>
  <c r="J85" i="2"/>
  <c r="J82" i="2"/>
  <c r="AL82" i="2"/>
  <c r="AM82" i="2" s="1"/>
  <c r="J69" i="2"/>
  <c r="AL69" i="2"/>
  <c r="AM69" i="2" s="1"/>
  <c r="AL17" i="2"/>
  <c r="AM17" i="2" s="1"/>
  <c r="J17" i="2"/>
  <c r="J35" i="2"/>
  <c r="AL35" i="2"/>
  <c r="AM35" i="2" s="1"/>
  <c r="J80" i="2"/>
  <c r="AL80" i="2"/>
  <c r="AM80" i="2" s="1"/>
  <c r="J77" i="2"/>
  <c r="AL77" i="2"/>
  <c r="AM77" i="2" s="1"/>
  <c r="J40" i="2"/>
  <c r="AL40" i="2"/>
  <c r="AM40" i="2" s="1"/>
  <c r="J31" i="2"/>
  <c r="AL31" i="2"/>
  <c r="AM31" i="2" s="1"/>
  <c r="J78" i="2"/>
  <c r="AL78" i="2"/>
  <c r="AM78" i="2" s="1"/>
  <c r="J19" i="2"/>
  <c r="AL19" i="2"/>
  <c r="AM19" i="2" s="1"/>
  <c r="J45" i="2"/>
  <c r="AL45" i="2"/>
  <c r="AM45" i="2" s="1"/>
  <c r="AL25" i="2"/>
  <c r="AM25" i="2" s="1"/>
  <c r="J25" i="2"/>
  <c r="J48" i="2"/>
  <c r="AL48" i="2"/>
  <c r="AM48" i="2" s="1"/>
  <c r="J88" i="2"/>
  <c r="AL88" i="2"/>
  <c r="AM88" i="2" s="1"/>
  <c r="J30" i="2"/>
  <c r="AL30" i="2"/>
  <c r="AM30" i="2" s="1"/>
  <c r="AL33" i="2"/>
  <c r="AM33" i="2" s="1"/>
  <c r="J33" i="2"/>
  <c r="J91" i="2"/>
  <c r="AL91" i="2"/>
  <c r="AM91" i="2" s="1"/>
  <c r="AL67" i="2"/>
  <c r="AM67" i="2" s="1"/>
  <c r="J67" i="2"/>
  <c r="J60" i="2"/>
  <c r="AL60" i="2"/>
  <c r="AM60" i="2" s="1"/>
  <c r="J12" i="2"/>
  <c r="AL12" i="2"/>
  <c r="AM12" i="2" s="1"/>
  <c r="J41" i="2"/>
  <c r="AL41" i="2"/>
  <c r="AM41" i="2" s="1"/>
  <c r="J22" i="2"/>
  <c r="AL22" i="2"/>
  <c r="AM22" i="2" s="1"/>
  <c r="J84" i="2"/>
  <c r="AL84" i="2"/>
  <c r="AM84" i="2" s="1"/>
  <c r="J43" i="2"/>
  <c r="AL43" i="2"/>
  <c r="AM43" i="2" s="1"/>
  <c r="J62" i="2"/>
  <c r="AL62" i="2"/>
  <c r="AM62" i="2" s="1"/>
  <c r="J46" i="2"/>
  <c r="AL46" i="2"/>
  <c r="AM46" i="2" s="1"/>
  <c r="J71" i="2"/>
  <c r="AL71" i="2"/>
  <c r="AM71" i="2" s="1"/>
  <c r="AL38" i="2"/>
  <c r="AM38" i="2" s="1"/>
  <c r="J38" i="2"/>
  <c r="J11" i="2"/>
  <c r="AL11" i="2"/>
  <c r="AM11" i="2" s="1"/>
  <c r="J52" i="2"/>
  <c r="AL52" i="2"/>
  <c r="AM52" i="2" s="1"/>
  <c r="J44" i="2"/>
  <c r="AL44" i="2"/>
  <c r="AM44" i="2" s="1"/>
  <c r="AL39" i="2"/>
  <c r="AM39" i="2" s="1"/>
  <c r="J39" i="2"/>
  <c r="J14" i="2"/>
  <c r="AL14" i="2"/>
  <c r="AM14" i="2" s="1"/>
  <c r="J29" i="2"/>
  <c r="AL29" i="2"/>
  <c r="AM29" i="2" s="1"/>
  <c r="J70" i="2"/>
  <c r="AL70" i="2"/>
  <c r="AM70" i="2" s="1"/>
  <c r="J5" i="2"/>
  <c r="AL5" i="2"/>
  <c r="AM5" i="2" s="1"/>
  <c r="AL49" i="2"/>
  <c r="AM49" i="2" s="1"/>
  <c r="J49" i="2"/>
  <c r="J53" i="2"/>
  <c r="AL53" i="2"/>
  <c r="AM53" i="2" s="1"/>
  <c r="J68" i="2"/>
  <c r="AL68" i="2"/>
  <c r="AM68" i="2" s="1"/>
  <c r="AL56" i="2"/>
  <c r="AM56" i="2" s="1"/>
  <c r="J56" i="2"/>
  <c r="J90" i="2"/>
  <c r="AL90" i="2"/>
  <c r="AM90" i="2" s="1"/>
  <c r="J58" i="2"/>
  <c r="AL58" i="2"/>
  <c r="AM58" i="2" s="1"/>
  <c r="J42" i="2"/>
  <c r="AL42" i="2"/>
  <c r="AM42" i="2" s="1"/>
  <c r="J32" i="2"/>
  <c r="AL32" i="2"/>
  <c r="AM32" i="2" s="1"/>
  <c r="AL15" i="2"/>
  <c r="AM15" i="2" s="1"/>
  <c r="J15" i="2"/>
  <c r="AL7" i="2"/>
  <c r="AM7" i="2" s="1"/>
  <c r="J7" i="2"/>
  <c r="J83" i="2"/>
  <c r="AL83" i="2"/>
  <c r="AM83" i="2" s="1"/>
  <c r="J50" i="2"/>
  <c r="AL50" i="2"/>
  <c r="AM50" i="2" s="1"/>
  <c r="J75" i="2"/>
  <c r="AL75" i="2"/>
  <c r="AM75" i="2" s="1"/>
  <c r="J13" i="2"/>
  <c r="AL13" i="2"/>
  <c r="AM13" i="2" s="1"/>
  <c r="AL55" i="2"/>
  <c r="AM55" i="2" s="1"/>
  <c r="J55" i="2"/>
  <c r="AL89" i="2"/>
  <c r="AM89" i="2" s="1"/>
  <c r="J89" i="2"/>
  <c r="J64" i="2"/>
  <c r="AL64" i="2"/>
  <c r="AM64" i="2" s="1"/>
  <c r="J21" i="2"/>
  <c r="AL21" i="2"/>
  <c r="AM21" i="2" s="1"/>
  <c r="J87" i="2"/>
  <c r="AL87" i="2"/>
  <c r="AM87" i="2" s="1"/>
  <c r="AL63" i="2"/>
  <c r="AM63" i="2" s="1"/>
  <c r="J63" i="2"/>
  <c r="J57" i="2"/>
  <c r="AL57" i="2"/>
  <c r="AM57" i="2" s="1"/>
  <c r="AL79" i="2"/>
  <c r="AM79" i="2" s="1"/>
  <c r="J79" i="2"/>
  <c r="J37" i="2"/>
  <c r="AL37" i="2"/>
  <c r="AM37" i="2" s="1"/>
  <c r="J6" i="2"/>
  <c r="AL6" i="2"/>
  <c r="AM6" i="2" s="1"/>
  <c r="AL47" i="2"/>
  <c r="AM47" i="2" s="1"/>
  <c r="J47" i="2"/>
  <c r="J76" i="2"/>
  <c r="AL76" i="2"/>
  <c r="AM76" i="2" s="1"/>
  <c r="J72" i="2"/>
  <c r="AL72" i="2"/>
  <c r="AM72" i="2" s="1"/>
  <c r="J74" i="2"/>
  <c r="AL74" i="2"/>
  <c r="AM74" i="2" s="1"/>
  <c r="AL9" i="2"/>
  <c r="AM9" i="2" s="1"/>
  <c r="J9" i="2"/>
  <c r="J34" i="2"/>
  <c r="AL34" i="2"/>
  <c r="AM34" i="2" s="1"/>
  <c r="J23" i="2"/>
  <c r="AL23" i="2"/>
  <c r="AM23" i="2" s="1"/>
  <c r="J26" i="2"/>
  <c r="AL26" i="2"/>
  <c r="AM26" i="2" s="1"/>
  <c r="J18" i="2"/>
  <c r="AL18" i="2"/>
  <c r="AM18" i="2" s="1"/>
  <c r="AL8" i="2"/>
  <c r="AM8" i="2" s="1"/>
  <c r="J8" i="2"/>
  <c r="J28" i="2"/>
  <c r="AL28" i="2"/>
  <c r="AM28" i="2" s="1"/>
  <c r="AL73" i="2"/>
  <c r="AM73" i="2" s="1"/>
  <c r="J73" i="2"/>
  <c r="J10" i="2"/>
  <c r="AL10" i="2"/>
  <c r="AM10" i="2" s="1"/>
  <c r="J36" i="2"/>
  <c r="AL36" i="2"/>
  <c r="AM36" i="2" s="1"/>
  <c r="J61" i="2"/>
  <c r="AL61" i="2"/>
  <c r="AM61" i="2" s="1"/>
  <c r="AL81" i="2"/>
  <c r="AM81" i="2" s="1"/>
  <c r="J81" i="2"/>
  <c r="AL4" i="2"/>
  <c r="AM4" i="2" s="1"/>
  <c r="AM3" i="2" l="1"/>
  <c r="AM92" i="2" s="1"/>
  <c r="AL92" i="2"/>
</calcChain>
</file>

<file path=xl/sharedStrings.xml><?xml version="1.0" encoding="utf-8"?>
<sst xmlns="http://schemas.openxmlformats.org/spreadsheetml/2006/main" count="609" uniqueCount="199">
  <si>
    <t>Item Cost</t>
  </si>
  <si>
    <t>Freight</t>
  </si>
  <si>
    <t>Duty Charges</t>
  </si>
  <si>
    <t>Broker Charges</t>
  </si>
  <si>
    <t>Chatgpt Sub</t>
  </si>
  <si>
    <t>Claude Sub</t>
  </si>
  <si>
    <t>Grok Sub</t>
  </si>
  <si>
    <t>Business Card</t>
  </si>
  <si>
    <t>Bags</t>
  </si>
  <si>
    <t>Box</t>
  </si>
  <si>
    <t>GST</t>
  </si>
  <si>
    <t>Sample Bottles</t>
  </si>
  <si>
    <t>Packaging Compliments</t>
  </si>
  <si>
    <t>Costs Incurred Breakdown</t>
  </si>
  <si>
    <t>GoDaddy 1 Year Sub</t>
  </si>
  <si>
    <t>Logo Sub 6 months</t>
  </si>
  <si>
    <t>Business Name Registration</t>
  </si>
  <si>
    <t>Partnership Registration</t>
  </si>
  <si>
    <t>Business Activity Registration</t>
  </si>
  <si>
    <t>Stamp Registration and Making</t>
  </si>
  <si>
    <t>-</t>
  </si>
  <si>
    <t>Product Name (as invoiced)</t>
  </si>
  <si>
    <t>TOTAL  -  89 line items</t>
  </si>
  <si>
    <t>Total</t>
  </si>
  <si>
    <t>Dhiraagu Domain</t>
  </si>
  <si>
    <t xml:space="preserve"> Centella Bubble Chewy Foam 200ml</t>
  </si>
  <si>
    <t xml:space="preserve"> Charcoal Clay 2in1 Pack Foam 120ml</t>
  </si>
  <si>
    <t xml:space="preserve"> Real Sensation Pore Cleansing Foam 1+1 150ml x 2</t>
  </si>
  <si>
    <t xml:space="preserve"> Real Sensation Blemish Cleansing Foam 1+1 150ml x 2</t>
  </si>
  <si>
    <t xml:space="preserve"> Charcoal Pore Clay Cleansing Foam 180ml</t>
  </si>
  <si>
    <t xml:space="preserve"> Dr. Madecassoside Cure Cream 70ml</t>
  </si>
  <si>
    <t xml:space="preserve"> Dr. Cica Derma Ampoule 30ml</t>
  </si>
  <si>
    <t xml:space="preserve"> Dr. Vitamin C Derma Ampoule 30ml</t>
  </si>
  <si>
    <t xml:space="preserve"> Truly Glutathione Serum 35ml</t>
  </si>
  <si>
    <t xml:space="preserve"> Truly Centella Serum 35ml</t>
  </si>
  <si>
    <t xml:space="preserve"> Truly Centella High Concentration Serum 20g</t>
  </si>
  <si>
    <t xml:space="preserve"> Truly Glutathione High Concentration Serum 20g</t>
  </si>
  <si>
    <t xml:space="preserve"> High Protection Daily No Sebum Sun Cream 30ml</t>
  </si>
  <si>
    <t xml:space="preserve"> High Protection Long Lasting Sun Cream 30ml</t>
  </si>
  <si>
    <t xml:space="preserve"> High Protection Extreme Sun Cream 30ml</t>
  </si>
  <si>
    <t xml:space="preserve"> UV Sun Protect Sun Stick 18g</t>
  </si>
  <si>
    <t xml:space="preserve"> UV Sun Oil Free Matte Sun Stick 23g</t>
  </si>
  <si>
    <t xml:space="preserve"> Perfect Care Cica Soothing Sun 50g</t>
  </si>
  <si>
    <t xml:space="preserve"> Truly Glutathione Toner Pad 60pads</t>
  </si>
  <si>
    <t xml:space="preserve"> Truly Centella Toner Pad 60pads</t>
  </si>
  <si>
    <t xml:space="preserve"> Tea Tree Derma Skin 210ml</t>
  </si>
  <si>
    <t xml:space="preserve"> Cica Moisture Soothing Gel 300ml</t>
  </si>
  <si>
    <t xml:space="preserve"> Vitamin C + Turmeric Bubble Chewy Foam 200ml</t>
  </si>
  <si>
    <t xml:space="preserve"> Aloe Bubble Chewy Foam 200ml</t>
  </si>
  <si>
    <t xml:space="preserve"> Glutathione Bubble Chewy Foam 200ml</t>
  </si>
  <si>
    <t xml:space="preserve"> Panthenol Bubble Chewy Foam 200ml</t>
  </si>
  <si>
    <t xml:space="preserve"> Glutinous Rice Clay 2in1 Pack Foam 120ml</t>
  </si>
  <si>
    <t xml:space="preserve"> FRUIT PEACH&amp;APPLE MANGO CLEANSING FOAM 100ml</t>
  </si>
  <si>
    <t xml:space="preserve"> Lemon Brightening Cleansing Foam 180ml</t>
  </si>
  <si>
    <t xml:space="preserve"> AVOCADO REVITAL CLEANSING FOAM 180ml</t>
  </si>
  <si>
    <t xml:space="preserve"> The Glow Color Lip Balm #102 Smoothie Pink 3.6g</t>
  </si>
  <si>
    <t xml:space="preserve"> The Glow Color Lip Balm #103 Raspberry 3.6g</t>
  </si>
  <si>
    <t xml:space="preserve"> The Glow Color Lip Balm #104 Rosewood 3.6g</t>
  </si>
  <si>
    <t xml:space="preserve"> Cica Solution Mask Pack 25g x 10pcs</t>
  </si>
  <si>
    <t xml:space="preserve"> Snail Solution Mask Pack 25g x 10pcs</t>
  </si>
  <si>
    <t xml:space="preserve"> Vitamin Solution Mask Pack 25g x 10pcs</t>
  </si>
  <si>
    <t xml:space="preserve"> Hyaluronic Collagen Solution Mask Pack 25g x 10pcs</t>
  </si>
  <si>
    <t xml:space="preserve"> Aloe Solution Mask Pack 25g x 10pcs</t>
  </si>
  <si>
    <t xml:space="preserve"> Black Snail Eye Cream EX 40ml</t>
  </si>
  <si>
    <t xml:space="preserve"> Collagen Hydrogel Eye Patch 90g / 60 sheets</t>
  </si>
  <si>
    <t xml:space="preserve"> Vitamin C Pure Emulsion 120ml</t>
  </si>
  <si>
    <t xml:space="preserve"> Vitamin C Pure Cream 55ml</t>
  </si>
  <si>
    <t xml:space="preserve"> Collagen + Green Tea Moisture Lotion 150ml</t>
  </si>
  <si>
    <t xml:space="preserve"> Collagen + Green Tea Moisture Cream 70ml</t>
  </si>
  <si>
    <t xml:space="preserve"> Dr. Vitamin C Cure Cream 70ml</t>
  </si>
  <si>
    <t xml:space="preserve"> YUJA DERMA CREAM 50ml</t>
  </si>
  <si>
    <t xml:space="preserve"> Tea Tree Derma Lotion 210ml</t>
  </si>
  <si>
    <t xml:space="preserve"> Dr. Ceramide Derma Ampoule 30ml</t>
  </si>
  <si>
    <t xml:space="preserve"> Truly Retinol Serum 35ml</t>
  </si>
  <si>
    <t xml:space="preserve"> Truly Panthenol Serum 35ml</t>
  </si>
  <si>
    <t xml:space="preserve"> Truly PDRN Serum 35ml</t>
  </si>
  <si>
    <t xml:space="preserve"> Vitamin C Pure Ampoule 35ml</t>
  </si>
  <si>
    <t xml:space="preserve"> Truly Panthenol High Concentration Serum 20g</t>
  </si>
  <si>
    <t xml:space="preserve"> Truly PDRN High Concentration Serum 20g</t>
  </si>
  <si>
    <t xml:space="preserve"> Real Sensation Pore Ampoule 30ml</t>
  </si>
  <si>
    <t xml:space="preserve"> Cica Propolis Myrrh Ampoule 15ml</t>
  </si>
  <si>
    <t xml:space="preserve"> Collagen Hyaluronic Sun Cream 50ml</t>
  </si>
  <si>
    <t xml:space="preserve"> Moisture Aloe Sun Cream 50ml</t>
  </si>
  <si>
    <t xml:space="preserve"> Perfect Care Moisture Aqua Sun 50g</t>
  </si>
  <si>
    <t xml:space="preserve"> UV Sun Ultra Shield Sun Stick 20g</t>
  </si>
  <si>
    <t xml:space="preserve"> Vitamin C Pure Toner 120ml</t>
  </si>
  <si>
    <t xml:space="preserve"> Collagen + Green Tea Moisture Skin 150ml</t>
  </si>
  <si>
    <t xml:space="preserve"> Truly PDRN Toner Pad 60pads</t>
  </si>
  <si>
    <t xml:space="preserve"> Pore Peeling Pad 60pads</t>
  </si>
  <si>
    <t xml:space="preserve"> Centella Moisture Skin 150ml</t>
  </si>
  <si>
    <t xml:space="preserve"> COLLAGEN+GREEN TEA MOISTURE SKIN 150ml</t>
  </si>
  <si>
    <t xml:space="preserve"> Vitamin Moisture Soothing Gel 300ml</t>
  </si>
  <si>
    <t xml:space="preserve"> Retinol Bubble Chewy Foam 200ml</t>
  </si>
  <si>
    <t xml:space="preserve"> PDRN Bubble Chewy Foam 200ml</t>
  </si>
  <si>
    <t xml:space="preserve"> Ssook/Mugwort Clay 2in1 Pack Foam 120ml</t>
  </si>
  <si>
    <t xml:space="preserve"> Soybean Clay 2in1 Pack Foam 120ml</t>
  </si>
  <si>
    <t xml:space="preserve"> Heeyul 24K Gold Eye Cream 40ml</t>
  </si>
  <si>
    <t xml:space="preserve"> Vitamin Hydrogel Eye Patch 90g / 60 sheets</t>
  </si>
  <si>
    <t xml:space="preserve"> Dr. AQUA CURE CREAM 70ml</t>
  </si>
  <si>
    <t xml:space="preserve"> Dr. Peptide Cure Cream 70ml</t>
  </si>
  <si>
    <t xml:space="preserve"> Wrinkle Collagen Ampoule Cream 70ml</t>
  </si>
  <si>
    <t xml:space="preserve"> Real Sensation Blemish Cream 55g</t>
  </si>
  <si>
    <t xml:space="preserve"> Real Sensation Pore Cream 55g</t>
  </si>
  <si>
    <t xml:space="preserve"> Hyaluronic Derma Lotion 200ml</t>
  </si>
  <si>
    <t xml:space="preserve"> Dr. Collagen Derma Ampoule 30ml</t>
  </si>
  <si>
    <t xml:space="preserve"> Truly Oligopeptide High Concentration Serum 20g</t>
  </si>
  <si>
    <t xml:space="preserve"> Heeyul Premium 24K Gold Essence 130ml</t>
  </si>
  <si>
    <t xml:space="preserve"> Real Sensation Blemish Ampoule 30ml</t>
  </si>
  <si>
    <t xml:space="preserve"> 24K Gold Perfect Ampoule 50g</t>
  </si>
  <si>
    <t xml:space="preserve"> Truly Retinol Toner Pad 60pads</t>
  </si>
  <si>
    <t xml:space="preserve"> Collagen Derma Skin 200ml</t>
  </si>
  <si>
    <t xml:space="preserve"> Collagen Hyaluronic Toner 300ml</t>
  </si>
  <si>
    <t xml:space="preserve"> Gold Caviar Ampoule Cream 70ml</t>
  </si>
  <si>
    <t xml:space="preserve">TOTAL REALIZED </t>
  </si>
  <si>
    <t>N/A</t>
  </si>
  <si>
    <t>Category</t>
  </si>
  <si>
    <t>Cleansing &amp; Peeling</t>
  </si>
  <si>
    <t>Creams &amp; Moisturizers</t>
  </si>
  <si>
    <t>Serums &amp; Ampoules</t>
  </si>
  <si>
    <t>Sun Care</t>
  </si>
  <si>
    <t>Toner / Peeling Pads</t>
  </si>
  <si>
    <t>Toners &amp; Emulsions</t>
  </si>
  <si>
    <t>Soothing Gels</t>
  </si>
  <si>
    <t>Lips &amp; Makeup</t>
  </si>
  <si>
    <t>Mask Packs</t>
  </si>
  <si>
    <t>Eye Care</t>
  </si>
  <si>
    <t>Total Revenue</t>
  </si>
  <si>
    <t>Total Cost</t>
  </si>
  <si>
    <t>Total Profit</t>
  </si>
  <si>
    <t>Shipment Target Sales 60%</t>
  </si>
  <si>
    <t xml:space="preserve">Total cost </t>
  </si>
  <si>
    <t>No. Quantity</t>
  </si>
  <si>
    <t>Per Unit CNF</t>
  </si>
  <si>
    <t>Yesstyle Prices
 w/o Shipping (MVR)</t>
  </si>
  <si>
    <t>CNF / Unit
(MVR)</t>
  </si>
  <si>
    <t>CNF / Total Units
(MVR)</t>
  </si>
  <si>
    <t>Selling price w/o
GST (MVR)</t>
  </si>
  <si>
    <t>GST 8%
(MVR)</t>
  </si>
  <si>
    <t>Weighted max
expense (MVR)</t>
  </si>
  <si>
    <t>CNF / Total Units
(invoiced USD)</t>
  </si>
  <si>
    <t>CNF / Unit
(invoiced USD)</t>
  </si>
  <si>
    <t>Total Selling Price / Unit (MVR)</t>
  </si>
  <si>
    <t>Total Selling 
Price / Total Units (MVR)</t>
  </si>
  <si>
    <t>Total Profit
(MVR)</t>
  </si>
  <si>
    <t>Revenue to CNF ratio (%)</t>
  </si>
  <si>
    <t>Qty 
(NOS)</t>
  </si>
  <si>
    <t>Lebelage Price w/o Shipping (MVR)</t>
  </si>
  <si>
    <t>Minimum Selling Price w/o GST (MVR)</t>
  </si>
  <si>
    <t>Minimum Selling Price w/ GST (MVR)</t>
  </si>
  <si>
    <t>Maximum Selling Price w/o GST (MVR)</t>
  </si>
  <si>
    <t>Maximum Selling Price w/ GST (MVR)</t>
  </si>
  <si>
    <t>CNF / Unit
(invoiced USD)2</t>
  </si>
  <si>
    <t>Lebelage Retail Price as per Kim's Catalogue (USD)</t>
  </si>
  <si>
    <t>Lebelage Retail Price (USD)</t>
  </si>
  <si>
    <t>Lebelage Price w/o Shipping (MVR)2</t>
  </si>
  <si>
    <t>Alt 1 Median Selling Price w/o GST (MVR)</t>
  </si>
  <si>
    <t>Alt 1 Median Selling Price w/ GST (MVR)</t>
  </si>
  <si>
    <t>Alt 2 Median Selling Price w/o GST (MVR)2</t>
  </si>
  <si>
    <t>Alt 2 Median Selling Price w/ GST (MVR)2</t>
  </si>
  <si>
    <t>Minimum Selling Price w/ GST for Total Units (MVR)</t>
  </si>
  <si>
    <t>Alt 1 Median Selling Price w/ GST for Total Units (MVR)</t>
  </si>
  <si>
    <t>Alt 2 Median Selling Price w/ GST for Total Units (MVR)</t>
  </si>
  <si>
    <t>Maximum Selling Price w/ GST for Total Units (MVR)2</t>
  </si>
  <si>
    <t>Total Selling Price / Unit (MVR)2</t>
  </si>
  <si>
    <t>(Lebelage selling price + 9 usd shipping)*15.42</t>
  </si>
  <si>
    <t>(Lebelage selling price)*15.42</t>
  </si>
  <si>
    <t>(Lebelage selling price)*22</t>
  </si>
  <si>
    <t>(Lebelage selling price + 9usd shipping)*22</t>
  </si>
  <si>
    <t>"Minimum Selling Price" Revenue on 100% sales</t>
  </si>
  <si>
    <t>"Alt 1 Median Selling Price" Revenue on 100% sales</t>
  </si>
  <si>
    <t>"Alt 2 Median Selling Price" Revenue on 100% sales</t>
  </si>
  <si>
    <t>"Maximum Selling Price" Revenue on 100% sales</t>
  </si>
  <si>
    <t>Proposed New Selling Price / Unit (MVR)</t>
  </si>
  <si>
    <t>CNF / Unit
(MVR)2</t>
  </si>
  <si>
    <t>Yesstyle Prices
 w/o Shipping (MVR)2</t>
  </si>
  <si>
    <t>Current Expected Revenue on 100% sales</t>
  </si>
  <si>
    <t>Lebelage Retail Price as per Kim's Catalogue (MVR)</t>
  </si>
  <si>
    <t>Kim Big List</t>
  </si>
  <si>
    <t>Lebelage Website Price w/o Shipping</t>
  </si>
  <si>
    <t>CNF</t>
  </si>
  <si>
    <t>Final Price</t>
  </si>
  <si>
    <t>Yesstyle Price w/o Shipping</t>
  </si>
  <si>
    <t>Base Profit / Unit 
(MVR)</t>
  </si>
  <si>
    <t>Profit / Unit (MVR)</t>
  </si>
  <si>
    <t>Per Product</t>
  </si>
  <si>
    <t>Current Price</t>
  </si>
  <si>
    <t>Kim's Lebelage Catalogue</t>
  </si>
  <si>
    <t xml:space="preserve">CNF*2 (MVR)
</t>
  </si>
  <si>
    <t>Miniestmum Selling Price</t>
  </si>
  <si>
    <t>Miniestmum Total Selling Price</t>
  </si>
  <si>
    <t>CNF*2*Qty
(MVR)</t>
  </si>
  <si>
    <t>Miniestmum Selling Price Rounded Off</t>
  </si>
  <si>
    <t>CNF*2 Rounded Off (MVR)</t>
  </si>
  <si>
    <t>Listing Price</t>
  </si>
  <si>
    <t>Proposed New Discounting Price / Unit (MVR)</t>
  </si>
  <si>
    <t>Discount Price</t>
  </si>
  <si>
    <t>Proposed New Listing Price / Unit (MVR)2</t>
  </si>
  <si>
    <t>Listing Price Total Products</t>
  </si>
  <si>
    <t>Proposed New Listing Price Total Units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</si>
</sst>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5" formatCode="[$MVR]\ #,##0.00_);\([$MVR]\ #,##0.00\)"/>
    <numFmt numFmtId="166" formatCode="[$MVR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rgb="FFDAF2F0"/>
      </patternFill>
    </fill>
    <fill>
      <patternFill patternType="solid">
        <fgColor rgb="FFFFF2CC"/>
        <bgColor rgb="FFFFF8B4"/>
      </patternFill>
    </fill>
    <fill>
      <patternFill patternType="solid">
        <fgColor rgb="FFDDEBF7"/>
        <bgColor rgb="FFDAF2F0"/>
      </patternFill>
    </fill>
    <fill>
      <patternFill patternType="solid">
        <fgColor rgb="FFFFF8B4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BDDE6"/>
      </patternFill>
    </fill>
    <fill>
      <patternFill patternType="solid">
        <fgColor rgb="FFDAF2F0"/>
        <bgColor rgb="FFDDEBF7"/>
      </patternFill>
    </fill>
    <fill>
      <patternFill patternType="solid">
        <fgColor rgb="FFFBDDE6"/>
        <bgColor rgb="FFFCE4D6"/>
      </patternFill>
    </fill>
    <fill>
      <patternFill patternType="solid">
        <fgColor rgb="FFD9E1F2"/>
        <bgColor rgb="FFD9E2F2"/>
      </patternFill>
    </fill>
    <fill>
      <patternFill patternType="solid">
        <fgColor rgb="FFE4DFEC"/>
        <b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7D7D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</cellStyleXfs>
  <cellXfs count="97">
    <xf numFmtId="0" fontId="0" fillId="0" borderId="0" xfId="0"/>
    <xf numFmtId="9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4" fillId="3" borderId="2" xfId="0" applyFont="1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0" fontId="4" fillId="6" borderId="2" xfId="0" applyFont="1" applyFill="1" applyBorder="1" applyAlignment="1">
      <alignment vertical="top"/>
    </xf>
    <xf numFmtId="0" fontId="4" fillId="7" borderId="2" xfId="0" applyFont="1" applyFill="1" applyBorder="1" applyAlignment="1">
      <alignment vertical="top"/>
    </xf>
    <xf numFmtId="0" fontId="4" fillId="8" borderId="2" xfId="0" applyFont="1" applyFill="1" applyBorder="1" applyAlignment="1">
      <alignment vertical="top"/>
    </xf>
    <xf numFmtId="0" fontId="4" fillId="9" borderId="2" xfId="0" applyFont="1" applyFill="1" applyBorder="1" applyAlignment="1">
      <alignment vertical="top"/>
    </xf>
    <xf numFmtId="0" fontId="4" fillId="10" borderId="2" xfId="0" applyFont="1" applyFill="1" applyBorder="1" applyAlignment="1">
      <alignment vertical="top"/>
    </xf>
    <xf numFmtId="0" fontId="4" fillId="11" borderId="2" xfId="0" applyFont="1" applyFill="1" applyBorder="1" applyAlignment="1">
      <alignment vertical="top"/>
    </xf>
    <xf numFmtId="0" fontId="4" fillId="12" borderId="2" xfId="0" applyFont="1" applyFill="1" applyBorder="1" applyAlignment="1">
      <alignment vertical="top"/>
    </xf>
    <xf numFmtId="9" fontId="0" fillId="0" borderId="0" xfId="2" applyFont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6" fillId="0" borderId="0" xfId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43" fontId="7" fillId="18" borderId="0" xfId="1" applyFont="1" applyFill="1"/>
    <xf numFmtId="43" fontId="7" fillId="19" borderId="0" xfId="1" applyFont="1" applyFill="1"/>
    <xf numFmtId="0" fontId="5" fillId="17" borderId="0" xfId="0" applyFont="1" applyFill="1" applyAlignment="1">
      <alignment horizontal="center" vertical="center" wrapText="1"/>
    </xf>
    <xf numFmtId="0" fontId="5" fillId="20" borderId="0" xfId="0" applyFont="1" applyFill="1" applyAlignment="1">
      <alignment horizontal="center" vertical="center" wrapText="1"/>
    </xf>
    <xf numFmtId="43" fontId="7" fillId="21" borderId="0" xfId="1" applyFont="1" applyFill="1" applyAlignment="1">
      <alignment horizontal="left"/>
    </xf>
    <xf numFmtId="43" fontId="12" fillId="21" borderId="0" xfId="1" applyFont="1" applyFill="1"/>
    <xf numFmtId="43" fontId="7" fillId="22" borderId="0" xfId="1" applyFont="1" applyFill="1" applyAlignment="1">
      <alignment horizontal="left"/>
    </xf>
    <xf numFmtId="43" fontId="12" fillId="22" borderId="0" xfId="1" applyFont="1" applyFill="1"/>
    <xf numFmtId="0" fontId="0" fillId="20" borderId="0" xfId="0" applyFill="1" applyAlignment="1">
      <alignment horizontal="center" vertical="center" wrapText="1"/>
    </xf>
    <xf numFmtId="2" fontId="0" fillId="21" borderId="0" xfId="0" applyNumberFormat="1" applyFill="1" applyAlignment="1">
      <alignment horizontal="center" vertical="center"/>
    </xf>
    <xf numFmtId="2" fontId="0" fillId="22" borderId="0" xfId="0" applyNumberFormat="1" applyFill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6" fontId="3" fillId="20" borderId="1" xfId="1" applyNumberFormat="1" applyFont="1" applyFill="1" applyBorder="1"/>
    <xf numFmtId="166" fontId="3" fillId="17" borderId="1" xfId="1" applyNumberFormat="1" applyFont="1" applyFill="1" applyBorder="1"/>
    <xf numFmtId="166" fontId="3" fillId="23" borderId="1" xfId="1" applyNumberFormat="1" applyFont="1" applyFill="1" applyBorder="1"/>
    <xf numFmtId="9" fontId="3" fillId="23" borderId="1" xfId="2" applyFont="1" applyFill="1" applyBorder="1" applyAlignment="1">
      <alignment horizontal="center"/>
    </xf>
    <xf numFmtId="0" fontId="3" fillId="23" borderId="1" xfId="0" applyFont="1" applyFill="1" applyBorder="1"/>
    <xf numFmtId="164" fontId="3" fillId="23" borderId="1" xfId="0" applyNumberFormat="1" applyFont="1" applyFill="1" applyBorder="1"/>
    <xf numFmtId="165" fontId="3" fillId="23" borderId="1" xfId="1" applyNumberFormat="1" applyFont="1" applyFill="1" applyBorder="1"/>
    <xf numFmtId="43" fontId="3" fillId="24" borderId="1" xfId="1" applyFont="1" applyFill="1" applyBorder="1"/>
    <xf numFmtId="0" fontId="3" fillId="24" borderId="1" xfId="0" applyFont="1" applyFill="1" applyBorder="1"/>
    <xf numFmtId="0" fontId="10" fillId="15" borderId="4" xfId="5" applyBorder="1" applyAlignment="1">
      <alignment horizontal="left" vertical="top"/>
    </xf>
    <xf numFmtId="0" fontId="9" fillId="14" borderId="4" xfId="4" applyBorder="1" applyAlignment="1">
      <alignment horizontal="left" vertical="top"/>
    </xf>
    <xf numFmtId="0" fontId="8" fillId="13" borderId="4" xfId="3" applyBorder="1" applyAlignment="1">
      <alignment horizontal="left" vertical="top"/>
    </xf>
    <xf numFmtId="0" fontId="11" fillId="16" borderId="4" xfId="6" applyBorder="1" applyAlignment="1">
      <alignment horizontal="left" vertical="top"/>
    </xf>
    <xf numFmtId="2" fontId="6" fillId="0" borderId="3" xfId="0" applyNumberFormat="1" applyFont="1" applyBorder="1" applyAlignment="1">
      <alignment horizontal="center" vertical="center"/>
    </xf>
    <xf numFmtId="0" fontId="13" fillId="20" borderId="0" xfId="0" applyFont="1" applyFill="1" applyAlignment="1">
      <alignment horizontal="center" vertical="center" wrapText="1"/>
    </xf>
    <xf numFmtId="43" fontId="7" fillId="19" borderId="0" xfId="1" applyFont="1" applyFill="1" applyBorder="1"/>
    <xf numFmtId="43" fontId="7" fillId="22" borderId="0" xfId="1" applyFont="1" applyFill="1" applyBorder="1" applyAlignment="1">
      <alignment horizontal="left"/>
    </xf>
    <xf numFmtId="43" fontId="12" fillId="22" borderId="0" xfId="1" applyFont="1" applyFill="1" applyBorder="1"/>
    <xf numFmtId="1" fontId="0" fillId="0" borderId="0" xfId="0" applyNumberFormat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  <xf numFmtId="166" fontId="3" fillId="23" borderId="0" xfId="1" applyNumberFormat="1" applyFont="1" applyFill="1" applyBorder="1"/>
    <xf numFmtId="0" fontId="0" fillId="24" borderId="0" xfId="0" applyFill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6" fillId="0" borderId="0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9" borderId="0" xfId="0" applyFill="1" applyAlignment="1">
      <alignment horizontal="center" vertical="center" wrapText="1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166" fontId="3" fillId="29" borderId="1" xfId="0" applyNumberFormat="1" applyFont="1" applyFill="1" applyBorder="1"/>
    <xf numFmtId="2" fontId="0" fillId="25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26" borderId="0" xfId="0" applyFill="1" applyAlignment="1">
      <alignment horizontal="center" vertical="center" wrapText="1"/>
    </xf>
    <xf numFmtId="0" fontId="0" fillId="26" borderId="0" xfId="0" quotePrefix="1" applyFill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4" fillId="8" borderId="6" xfId="0" applyFont="1" applyFill="1" applyBorder="1" applyAlignment="1">
      <alignment vertical="top"/>
    </xf>
    <xf numFmtId="0" fontId="0" fillId="2" borderId="5" xfId="0" applyFill="1" applyBorder="1" applyAlignment="1">
      <alignment horizontal="center" vertical="center" wrapText="1"/>
    </xf>
    <xf numFmtId="166" fontId="3" fillId="2" borderId="1" xfId="1" applyNumberFormat="1" applyFont="1" applyFill="1" applyBorder="1"/>
    <xf numFmtId="166" fontId="3" fillId="26" borderId="1" xfId="1" applyNumberFormat="1" applyFont="1" applyFill="1" applyBorder="1"/>
    <xf numFmtId="166" fontId="3" fillId="27" borderId="1" xfId="1" applyNumberFormat="1" applyFont="1" applyFill="1" applyBorder="1"/>
    <xf numFmtId="166" fontId="3" fillId="28" borderId="1" xfId="1" applyNumberFormat="1" applyFont="1" applyFill="1" applyBorder="1"/>
    <xf numFmtId="166" fontId="3" fillId="20" borderId="0" xfId="1" applyNumberFormat="1" applyFont="1" applyFill="1" applyBorder="1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2" fontId="10" fillId="15" borderId="4" xfId="5" applyNumberFormat="1" applyBorder="1" applyAlignment="1">
      <alignment horizontal="right" vertical="center"/>
    </xf>
    <xf numFmtId="2" fontId="9" fillId="14" borderId="4" xfId="4" applyNumberFormat="1" applyBorder="1" applyAlignment="1">
      <alignment horizontal="right" vertical="center"/>
    </xf>
    <xf numFmtId="2" fontId="8" fillId="13" borderId="4" xfId="3" applyNumberFormat="1" applyBorder="1" applyAlignment="1">
      <alignment horizontal="right" vertical="center"/>
    </xf>
    <xf numFmtId="2" fontId="11" fillId="16" borderId="4" xfId="6" applyNumberFormat="1" applyBorder="1" applyAlignment="1">
      <alignment horizontal="right" vertical="center"/>
    </xf>
    <xf numFmtId="0" fontId="0" fillId="18" borderId="4" xfId="0" applyFill="1" applyBorder="1" applyAlignment="1">
      <alignment horizontal="center" vertical="center" wrapText="1"/>
    </xf>
    <xf numFmtId="0" fontId="14" fillId="32" borderId="4" xfId="0" applyFont="1" applyFill="1" applyBorder="1" applyAlignment="1">
      <alignment horizontal="center" vertical="center" wrapText="1"/>
    </xf>
  </cellXfs>
  <cellStyles count="7">
    <cellStyle name="Accent6" xfId="6" builtinId="49"/>
    <cellStyle name="Bad" xfId="4" builtinId="27"/>
    <cellStyle name="Comma" xfId="1" builtinId="3"/>
    <cellStyle name="Good" xfId="3" builtinId="26"/>
    <cellStyle name="Neutral" xfId="5" builtinId="28"/>
    <cellStyle name="Normal" xfId="0" builtinId="0"/>
    <cellStyle name="Percent" xfId="2" builtinId="5"/>
  </cellStyles>
  <dxfs count="1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6" formatCode="[$MVR]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_);_(* \(#,##0\);_(* &quot;-&quot;??_);_(@_)"/>
      <fill>
        <patternFill patternType="none">
          <fgColor indexed="64"/>
          <bgColor auto="1"/>
        </patternFill>
      </fill>
    </dxf>
    <dxf>
      <numFmt numFmtId="2" formatCode="0.0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6" formatCode="[$MVR]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numFmt numFmtId="0" formatCode="General"/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_(* #,##0_);_(* \(#,##0\);_(* &quot;-&quot;??_);_(@_)"/>
      <fill>
        <patternFill patternType="none">
          <fgColor indexed="64"/>
          <bgColor auto="1"/>
        </patternFill>
      </fill>
    </dxf>
    <dxf>
      <numFmt numFmtId="2" formatCode="0.0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E7E6E6"/>
        <name val="Calibri"/>
        <family val="2"/>
        <scheme val="none"/>
      </font>
      <fill>
        <patternFill patternType="solid">
          <fgColor rgb="FF00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FF"/>
      <color rgb="FFFFABAB"/>
      <color rgb="FFFFCCFF"/>
      <color rgb="FFFF66FF"/>
      <color rgb="FFFF7D7D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61F80-EE62-1A4D-B8B1-31118179CD2F}" name="Table1" displayName="Table1" ref="A1:AM92" headerRowDxfId="58" dataDxfId="57">
  <autoFilter ref="A1:AM92" xr:uid="{B3961F80-EE62-1A4D-B8B1-31118179CD2F}"/>
  <sortState xmlns:xlrd2="http://schemas.microsoft.com/office/spreadsheetml/2017/richdata2" ref="A2:AM92">
    <sortCondition ref="B1:B92"/>
  </sortState>
  <tableColumns count="39">
    <tableColumn id="2" xr3:uid="{E9B991E0-369D-D94A-BB2B-DB182446FCD7}" name="Product Name (as invoiced)" totalsRowLabel="Total"/>
    <tableColumn id="17" xr3:uid="{79B8E597-BD0C-A243-9E41-FBBF7D386389}" name="Category"/>
    <tableColumn id="3" xr3:uid="{7C670C4F-512E-0041-89EB-FBA9EE8EAAA8}" name="Qty _x000a_(NOS)"/>
    <tableColumn id="4" xr3:uid="{C78A3F70-DDBD-1149-BED6-E9BA5DFBAEB4}" name="CNF / Unit_x000a_(invoiced USD)" dataDxfId="56"/>
    <tableColumn id="5" xr3:uid="{9DA632E2-4769-C24B-B5C5-2A6D80A65B88}" name="CNF / Total Units_x000a_(invoiced USD)"/>
    <tableColumn id="6" xr3:uid="{F55EEF4C-C67D-2047-ADC5-01355B5BFBF4}" name="CNF / Unit_x000a_(MVR)"/>
    <tableColumn id="18" xr3:uid="{82DFCC92-D118-4139-A156-CF7F74E88029}" name="CNF / Total Units_x000a_(MVR)" dataDxfId="55" totalsRowDxfId="54">
      <calculatedColumnFormula>SUM(F2*C2)</calculatedColumnFormula>
    </tableColumn>
    <tableColumn id="7" xr3:uid="{494B149F-7B69-194C-9EAF-AF7210BD1B91}" name="Lebelage Price w/o Shipping (MVR)"/>
    <tableColumn id="8" xr3:uid="{FA3CDE6D-6A3A-264F-81B6-C9D1BC2B85C8}" name="Yesstyle Prices_x000a_ w/o Shipping (MVR)" dataDxfId="53" totalsRowDxfId="52"/>
    <tableColumn id="9" xr3:uid="{36ECFFBA-969A-9444-90A3-520042BBA45E}" name="Base Profit / Unit _x000a_(MVR)" dataDxfId="51">
      <calculatedColumnFormula>L2-K2</calculatedColumnFormula>
    </tableColumn>
    <tableColumn id="10" xr3:uid="{FA08B531-618C-944E-BD35-2A1FB9EDD3AD}" name="Weighted max_x000a_expense (MVR)" dataDxfId="50" totalsRowDxfId="49" dataCellStyle="Comma"/>
    <tableColumn id="11" xr3:uid="{08D4CB23-9370-8344-99D8-6AB1EAD7CAE3}" name="Selling price w/o_x000a_GST (MVR)" dataDxfId="48" totalsRowDxfId="47" dataCellStyle="Comma">
      <calculatedColumnFormula>SUM(J2:K2)</calculatedColumnFormula>
    </tableColumn>
    <tableColumn id="12" xr3:uid="{7679EB76-4C8E-644B-98FC-BC6D47F61AAB}" name="GST 8%_x000a_(MVR)" dataDxfId="46" totalsRowDxfId="45" dataCellStyle="Comma">
      <calculatedColumnFormula>L2*8%</calculatedColumnFormula>
    </tableColumn>
    <tableColumn id="13" xr3:uid="{276C81DB-3363-B445-863F-13590C32622A}" name="Total Selling Price / Unit (MVR)" dataDxfId="44" totalsRowDxfId="43" dataCellStyle="Comma">
      <calculatedColumnFormula>SUM(L2:M2)</calculatedColumnFormula>
    </tableColumn>
    <tableColumn id="15" xr3:uid="{DE09CCF9-1EAB-4640-85A7-EFC957B52E61}" name="Total Selling _x000a_Price / Total Units (MVR)" dataDxfId="42" totalsRowDxfId="41">
      <calculatedColumnFormula>Table1[[#This Row],[Total Selling Price / Unit (MVR)]]*Table1[[#This Row],[Qty 
(NOS)]]</calculatedColumnFormula>
    </tableColumn>
    <tableColumn id="42" xr3:uid="{B17A8449-80F9-4578-B977-204E500290CA}" name="Proposed New Selling Price / Unit (MVR)" dataDxfId="40" totalsRowDxfId="39" dataCellStyle="Comma"/>
    <tableColumn id="26" xr3:uid="{BCE5D644-E41D-41D8-A43D-845BF92F0A94}" name="Lebelage Retail Price as per Kim's Catalogue (USD)" dataDxfId="38" dataCellStyle="Comma"/>
    <tableColumn id="44" xr3:uid="{3E613D5E-2181-4900-A26E-44119F680672}" name="Lebelage Retail Price as per Kim's Catalogue (MVR)" dataDxfId="37">
      <calculatedColumnFormula>Q2*22</calculatedColumnFormula>
    </tableColumn>
    <tableColumn id="28" xr3:uid="{5315C3FB-4A58-40C6-9D7A-45315F3F9E17}" name="Lebelage Price w/o Shipping (MVR)2" dataDxfId="36" totalsRowDxfId="35"/>
    <tableColumn id="25" xr3:uid="{2B161205-6B67-4C70-AF3C-A545ABE4C255}" name="Lebelage Retail Price (USD)" dataDxfId="34" totalsRowDxfId="33" dataCellStyle="Comma"/>
    <tableColumn id="27" xr3:uid="{2515D5A4-3FF0-4AF5-967F-F6F98422D4ED}" name="CNF / Unit_x000a_(invoiced USD)2" dataDxfId="32" totalsRowDxfId="31" dataCellStyle="Comma"/>
    <tableColumn id="37" xr3:uid="{06B453CE-466A-408F-B2BC-F572A903B454}" name="CNF / Unit_x000a_(MVR)2" dataDxfId="30"/>
    <tableColumn id="38" xr3:uid="{0519C0A5-7C5A-4B00-A342-F93747CB1107}" name="Yesstyle Prices_x000a_ w/o Shipping (MVR)2" dataDxfId="29"/>
    <tableColumn id="35" xr3:uid="{53D4B29E-A5EF-4F87-B691-8C2A4263499C}" name="Total Selling Price / Unit (MVR)2" dataDxfId="28"/>
    <tableColumn id="19" xr3:uid="{76024FA4-7C59-43F0-AD2D-7FC2B000C2C1}" name="Minimum Selling Price w/o GST (MVR)" dataDxfId="27" totalsRowDxfId="26" dataCellStyle="Comma">
      <calculatedColumnFormula>T2*15.42</calculatedColumnFormula>
    </tableColumn>
    <tableColumn id="20" xr3:uid="{F5D76CFE-E96F-4394-A9AE-97D92CD3EF59}" name="Minimum Selling Price w/ GST (MVR)" dataDxfId="25" totalsRowDxfId="24" dataCellStyle="Comma">
      <calculatedColumnFormula>Y2*1.08</calculatedColumnFormula>
    </tableColumn>
    <tableColumn id="31" xr3:uid="{FF7D127C-3346-4184-8F10-316AD8708AE5}" name="Minimum Selling Price w/ GST for Total Units (MVR)" dataDxfId="23" totalsRowDxfId="22" dataCellStyle="Comma">
      <calculatedColumnFormula>C2*Z2</calculatedColumnFormula>
    </tableColumn>
    <tableColumn id="30" xr3:uid="{101EDD6A-D3F1-41C3-9BD2-7ACE85D37ED2}" name="Alt 1 Median Selling Price w/o GST (MVR)" dataDxfId="21" dataCellStyle="Comma">
      <calculatedColumnFormula>(T2+9)*15.42</calculatedColumnFormula>
    </tableColumn>
    <tableColumn id="29" xr3:uid="{2CFD9A46-1713-4378-99EA-E7621D4B1733}" name="Alt 1 Median Selling Price w/ GST (MVR)" dataDxfId="20" totalsRowDxfId="19" dataCellStyle="Comma">
      <calculatedColumnFormula>AB2*1.08</calculatedColumnFormula>
    </tableColumn>
    <tableColumn id="32" xr3:uid="{4B654438-3A04-4A06-ADEF-59B4278F632E}" name="Alt 1 Median Selling Price w/ GST for Total Units (MVR)" dataDxfId="18" totalsRowDxfId="17" dataCellStyle="Comma">
      <calculatedColumnFormula>C2*AC2</calculatedColumnFormula>
    </tableColumn>
    <tableColumn id="24" xr3:uid="{19202649-19F8-411C-89B1-01B7DB793D41}" name="Alt 2 Median Selling Price w/o GST (MVR)2" dataDxfId="16" totalsRowDxfId="15" dataCellStyle="Comma">
      <calculatedColumnFormula>T2*22</calculatedColumnFormula>
    </tableColumn>
    <tableColumn id="23" xr3:uid="{E2D0437A-259B-4D88-B98E-6E186842A4D1}" name="Alt 2 Median Selling Price w/ GST (MVR)2" dataDxfId="14" totalsRowDxfId="13" dataCellStyle="Comma">
      <calculatedColumnFormula>AE2*1.08</calculatedColumnFormula>
    </tableColumn>
    <tableColumn id="33" xr3:uid="{448BEAD1-7AC8-47FF-A61E-DB5BC5FF7BF4}" name="Alt 2 Median Selling Price w/ GST for Total Units (MVR)" dataDxfId="12" totalsRowDxfId="11" dataCellStyle="Comma">
      <calculatedColumnFormula>C2*AF2</calculatedColumnFormula>
    </tableColumn>
    <tableColumn id="22" xr3:uid="{C39EC95B-25E7-4212-A23A-78FD5FB8D6CD}" name="Maximum Selling Price w/o GST (MVR)" dataDxfId="10" totalsRowDxfId="9" dataCellStyle="Comma">
      <calculatedColumnFormula>(T2+9)*22</calculatedColumnFormula>
    </tableColumn>
    <tableColumn id="21" xr3:uid="{A87B6211-6B9C-4225-9531-330C0993711C}" name="Maximum Selling Price w/ GST (MVR)" dataDxfId="8" totalsRowDxfId="7" dataCellStyle="Comma">
      <calculatedColumnFormula>AH2*1.08</calculatedColumnFormula>
    </tableColumn>
    <tableColumn id="34" xr3:uid="{51D0C55C-6011-424B-8F4F-4D0E663DB11A}" name="Maximum Selling Price w/ GST for Total Units (MVR)2" dataDxfId="6" totalsRowDxfId="5" dataCellStyle="Comma">
      <calculatedColumnFormula>C2*AI2</calculatedColumnFormula>
    </tableColumn>
    <tableColumn id="1" xr3:uid="{E235C32B-867F-4CFD-BBE2-31EACA72275F}" name="Revenue to CNF ratio (%)" dataDxfId="4">
      <calculatedColumnFormula>Table1[[#This Row],[Total Selling Price / Unit (MVR)]]/Table1[[#This Row],[CNF / Unit
(MVR)]]</calculatedColumnFormula>
    </tableColumn>
    <tableColumn id="14" xr3:uid="{9D8F5B62-4722-2F41-8F0A-8ADEC6898864}" name="Profit / Unit (MVR)" dataDxfId="3" totalsRowDxfId="2" dataCellStyle="Comma">
      <calculatedColumnFormula>N2-F2</calculatedColumnFormula>
    </tableColumn>
    <tableColumn id="16" xr3:uid="{80026B49-55B5-5A41-9441-C568123D9668}" name="Total Profit_x000a_(MVR)" totalsRowFunction="sum" dataDxfId="1" totalsRowDxfId="0" dataCellStyle="Comma">
      <calculatedColumnFormula>Table1[[#This Row],[Profit / Unit (MVR)]]*Table1[[#This Row],[Qty 
(NOS)]]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D4CA45-F151-472C-AC3D-C1ACB1257CF4}" name="Table13" displayName="Table13" ref="A1:AR92" headerRowDxfId="127" dataDxfId="126">
  <autoFilter ref="A1:AR92" xr:uid="{B3961F80-EE62-1A4D-B8B1-31118179CD2F}"/>
  <sortState xmlns:xlrd2="http://schemas.microsoft.com/office/spreadsheetml/2017/richdata2" ref="A2:AR92">
    <sortCondition ref="B1:B92"/>
  </sortState>
  <tableColumns count="44">
    <tableColumn id="2" xr3:uid="{477170D7-81E2-48AE-9E77-3EE944689250}" name="Product Name (as invoiced)" totalsRowLabel="Total"/>
    <tableColumn id="17" xr3:uid="{267378A2-7834-4E71-873E-B801D5CFF868}" name="Category"/>
    <tableColumn id="3" xr3:uid="{0CC71AD9-D1A1-4403-B987-B9D8DA0FD60F}" name="Qty _x000a_(NOS)"/>
    <tableColumn id="4" xr3:uid="{07A74FDA-6040-49F7-92F1-983F4BAC078F}" name="CNF / Unit_x000a_(invoiced USD)" dataDxfId="125"/>
    <tableColumn id="5" xr3:uid="{72F3E312-CD23-4101-AB1B-3AF582C58341}" name="CNF / Total Units_x000a_(invoiced USD)"/>
    <tableColumn id="6" xr3:uid="{1CE7928A-1F1D-4896-B52D-2941A0D64BA2}" name="CNF / Unit_x000a_(MVR)"/>
    <tableColumn id="18" xr3:uid="{51A530CF-9DAE-47B5-A1FE-F233C21456E4}" name="CNF / Total Units_x000a_(MVR)" dataDxfId="124" totalsRowDxfId="123">
      <calculatedColumnFormula>SUM(F2*C2)</calculatedColumnFormula>
    </tableColumn>
    <tableColumn id="7" xr3:uid="{6EE22DCF-233B-46F7-8E12-AA71D0475EA6}" name="Lebelage Price w/o Shipping (MVR)"/>
    <tableColumn id="8" xr3:uid="{F131D66E-1112-4B3A-B2C3-5005359A3B7C}" name="Yesstyle Prices_x000a_ w/o Shipping (MVR)" dataDxfId="122" totalsRowDxfId="121"/>
    <tableColumn id="9" xr3:uid="{A51734AA-8620-4A6F-949B-90A5BFB6FDA8}" name="Base Profit / Unit _x000a_(MVR)" dataDxfId="120">
      <calculatedColumnFormula>L2-K2</calculatedColumnFormula>
    </tableColumn>
    <tableColumn id="10" xr3:uid="{8981F4EF-4ECD-45D2-BA87-79F5E3D5C8C3}" name="Weighted max_x000a_expense (MVR)" dataDxfId="119" totalsRowDxfId="118" dataCellStyle="Comma"/>
    <tableColumn id="11" xr3:uid="{29E0181D-4C90-4F7C-9F5D-629595596BFC}" name="Selling price w/o_x000a_GST (MVR)" dataDxfId="117" totalsRowDxfId="116" dataCellStyle="Comma">
      <calculatedColumnFormula>SUM(J2:K2)</calculatedColumnFormula>
    </tableColumn>
    <tableColumn id="12" xr3:uid="{84A8513F-8255-46A4-8C50-F71950ED5D15}" name="GST 8%_x000a_(MVR)" dataDxfId="115" totalsRowDxfId="114" dataCellStyle="Comma">
      <calculatedColumnFormula>L2*8%</calculatedColumnFormula>
    </tableColumn>
    <tableColumn id="13" xr3:uid="{94D8E599-DAF0-42B4-8880-8DA2DEDE7D39}" name="Total Selling Price / Unit (MVR)" dataDxfId="113" totalsRowDxfId="112" dataCellStyle="Comma">
      <calculatedColumnFormula>SUM(L2:M2)</calculatedColumnFormula>
    </tableColumn>
    <tableColumn id="15" xr3:uid="{CD3B5108-EAB5-462B-9BDF-2BDE7490323C}" name="Total Selling _x000a_Price / Total Units (MVR)" dataDxfId="111" totalsRowDxfId="110">
      <calculatedColumnFormula>Table13[[#This Row],[Total Selling Price / Unit (MVR)]]*Table13[[#This Row],[Qty 
(NOS)]]</calculatedColumnFormula>
    </tableColumn>
    <tableColumn id="50" xr3:uid="{5CBEB31B-972D-4D99-9C79-2E759F684543}" name="Proposed New Listing Price Total Units (MVR)" dataDxfId="109" totalsRowDxfId="108" dataCellStyle="Comma"/>
    <tableColumn id="42" xr3:uid="{BC7E8D56-C7B1-41A6-9FD3-E5C99F544B78}" name="Proposed New Listing Price / Unit (MVR)2" dataDxfId="107" totalsRowDxfId="106" dataCellStyle="Comma"/>
    <tableColumn id="49" xr3:uid="{2344D7DB-3E72-4583-BF52-741C925A6B99}" name="Proposed New Discounting Price / Unit (MVR)" dataDxfId="105" totalsRowDxfId="104" dataCellStyle="Comma"/>
    <tableColumn id="26" xr3:uid="{27D3F0EA-30F0-4098-A5D0-D84D07C0FCFE}" name="Lebelage Retail Price as per Kim's Catalogue (USD)" dataDxfId="103" dataCellStyle="Comma"/>
    <tableColumn id="44" xr3:uid="{5900E41C-5EC4-4712-9492-059ACDBCFA82}" name="Lebelage Retail Price as per Kim's Catalogue (MVR)" dataDxfId="102">
      <calculatedColumnFormula>S2*22</calculatedColumnFormula>
    </tableColumn>
    <tableColumn id="28" xr3:uid="{D4452FA0-7D34-4A83-A333-E4E8DB0120B6}" name="Lebelage Price w/o Shipping (MVR)2" dataDxfId="101" totalsRowDxfId="100"/>
    <tableColumn id="25" xr3:uid="{1AFDDEAC-6C81-4521-B7AB-259CBFEF14AA}" name="Lebelage Retail Price (USD)" dataDxfId="99" totalsRowDxfId="98" dataCellStyle="Comma"/>
    <tableColumn id="27" xr3:uid="{2D506661-4884-4CB9-8480-A995F58177BC}" name="CNF / Unit_x000a_(invoiced USD)2" dataDxfId="97" totalsRowDxfId="96" dataCellStyle="Comma"/>
    <tableColumn id="46" xr3:uid="{602A6548-B9EC-48A3-A35F-F6D0C320FF4B}" name="CNF*2*Qty_x000a_(MVR)" dataDxfId="95" totalsRowDxfId="94"/>
    <tableColumn id="47" xr3:uid="{46E31917-DE74-4F06-A318-F3B4E80491BA}" name="CNF*2 Rounded Off (MVR)" dataDxfId="93" totalsRowDxfId="92"/>
    <tableColumn id="45" xr3:uid="{6E396643-B9ED-4609-9903-80AFF25B4521}" name="CNF*2 (MVR)_x000a_" dataDxfId="91" totalsRowDxfId="90"/>
    <tableColumn id="37" xr3:uid="{89F8C767-26D4-4A3A-801A-14033CB36602}" name="CNF / Unit_x000a_(MVR)2" dataDxfId="89"/>
    <tableColumn id="38" xr3:uid="{7036FC5B-15E1-4467-B84C-3392165E7271}" name="Yesstyle Prices_x000a_ w/o Shipping (MVR)2" dataDxfId="88"/>
    <tableColumn id="35" xr3:uid="{BCC6C8DA-F2CE-4E81-8B5A-2915A6EB51E6}" name="Total Selling Price / Unit (MVR)2" dataDxfId="87"/>
    <tableColumn id="19" xr3:uid="{12C6160C-C4A8-438C-BA6A-F836768996E0}" name="Minimum Selling Price w/o GST (MVR)" dataDxfId="86" totalsRowDxfId="85" dataCellStyle="Comma">
      <calculatedColumnFormula>V2*15.42</calculatedColumnFormula>
    </tableColumn>
    <tableColumn id="20" xr3:uid="{F9324A3B-CE9C-49FA-97B9-6472F7DF20BB}" name="Minimum Selling Price w/ GST (MVR)" dataDxfId="84" totalsRowDxfId="83" dataCellStyle="Comma">
      <calculatedColumnFormula>AD2*1.08</calculatedColumnFormula>
    </tableColumn>
    <tableColumn id="31" xr3:uid="{14EC72C4-8121-47A5-A2F0-8F43CD3296A2}" name="Minimum Selling Price w/ GST for Total Units (MVR)" dataDxfId="82" totalsRowDxfId="81" dataCellStyle="Comma">
      <calculatedColumnFormula>C2*AE2</calculatedColumnFormula>
    </tableColumn>
    <tableColumn id="30" xr3:uid="{16268472-C0FF-44BC-BD52-64D47A9023E3}" name="Alt 1 Median Selling Price w/o GST (MVR)" dataDxfId="80" dataCellStyle="Comma">
      <calculatedColumnFormula>(V2+9)*15.42</calculatedColumnFormula>
    </tableColumn>
    <tableColumn id="29" xr3:uid="{CD34AA27-283D-48E8-93A9-099C61BB43F5}" name="Alt 1 Median Selling Price w/ GST (MVR)" dataDxfId="79" totalsRowDxfId="78" dataCellStyle="Comma">
      <calculatedColumnFormula>AG2*1.08</calculatedColumnFormula>
    </tableColumn>
    <tableColumn id="32" xr3:uid="{15F2B312-EE2E-4FEC-BE65-991EE4DAD0FD}" name="Alt 1 Median Selling Price w/ GST for Total Units (MVR)" dataDxfId="77" totalsRowDxfId="76" dataCellStyle="Comma">
      <calculatedColumnFormula>C2*AH2</calculatedColumnFormula>
    </tableColumn>
    <tableColumn id="24" xr3:uid="{91E4C0C5-7793-45BE-B2FB-10E9C66DC37D}" name="Alt 2 Median Selling Price w/o GST (MVR)2" dataDxfId="75" totalsRowDxfId="74" dataCellStyle="Comma">
      <calculatedColumnFormula>V2*22</calculatedColumnFormula>
    </tableColumn>
    <tableColumn id="23" xr3:uid="{5A8917A5-5B98-4BD3-AE0C-39E795A9AB0B}" name="Alt 2 Median Selling Price w/ GST (MVR)2" dataDxfId="73" totalsRowDxfId="72" dataCellStyle="Comma">
      <calculatedColumnFormula>AJ2*1.08</calculatedColumnFormula>
    </tableColumn>
    <tableColumn id="33" xr3:uid="{C8135561-3D36-45A5-A6B4-705B86C57550}" name="Alt 2 Median Selling Price w/ GST for Total Units (MVR)" dataDxfId="71" totalsRowDxfId="70" dataCellStyle="Comma">
      <calculatedColumnFormula>C2*AK2</calculatedColumnFormula>
    </tableColumn>
    <tableColumn id="22" xr3:uid="{F05F1296-C931-4783-895A-FC4E30B326E4}" name="Maximum Selling Price w/o GST (MVR)" dataDxfId="69" totalsRowDxfId="68" dataCellStyle="Comma">
      <calculatedColumnFormula>(V2+9)*22</calculatedColumnFormula>
    </tableColumn>
    <tableColumn id="21" xr3:uid="{8DECDE65-F572-44C5-AABB-0843786DB1BB}" name="Maximum Selling Price w/ GST (MVR)" dataDxfId="67" totalsRowDxfId="66" dataCellStyle="Comma">
      <calculatedColumnFormula>AM2*1.08</calculatedColumnFormula>
    </tableColumn>
    <tableColumn id="34" xr3:uid="{D0B6D38F-34D4-4D96-907E-193E343DE8AD}" name="Maximum Selling Price w/ GST for Total Units (MVR)2" dataDxfId="65" totalsRowDxfId="64" dataCellStyle="Comma">
      <calculatedColumnFormula>C2*AN2</calculatedColumnFormula>
    </tableColumn>
    <tableColumn id="1" xr3:uid="{C44DB13B-FB4D-45D4-B4DF-5E69B6014235}" name="Revenue to CNF ratio (%)" dataDxfId="63">
      <calculatedColumnFormula>Table13[[#This Row],[Total Selling Price / Unit (MVR)]]/Table13[[#This Row],[CNF / Unit
(MVR)]]</calculatedColumnFormula>
    </tableColumn>
    <tableColumn id="14" xr3:uid="{87A66450-6C40-4ED2-9FCC-D3BFBA46EB49}" name="Profit / Unit (MVR)" dataDxfId="62" totalsRowDxfId="61" dataCellStyle="Comma">
      <calculatedColumnFormula>N2-F2</calculatedColumnFormula>
    </tableColumn>
    <tableColumn id="16" xr3:uid="{5458C835-7A2D-45B3-B80F-3E6849C586AC}" name="Total Profit_x000a_(MVR)" totalsRowFunction="sum" dataDxfId="60" totalsRowDxfId="59" dataCellStyle="Comma">
      <calculatedColumnFormula>Table13[[#This Row],[Profit / Unit (MVR)]]*Table13[[#This Row],[Qty 
(NOS)]]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26"/>
  <sheetViews>
    <sheetView workbookViewId="0">
      <selection activeCell="B3" sqref="B3:B4"/>
    </sheetView>
  </sheetViews>
  <sheetFormatPr defaultColWidth="8.85546875" defaultRowHeight="15" x14ac:dyDescent="0.25"/>
  <cols>
    <col min="1" max="1" width="27" bestFit="1" customWidth="1"/>
    <col min="3" max="3" width="9.28515625" bestFit="1" customWidth="1"/>
    <col min="6" max="6" width="12.28515625" bestFit="1" customWidth="1"/>
    <col min="7" max="7" width="9" bestFit="1" customWidth="1"/>
  </cols>
  <sheetData>
    <row r="2" spans="1:10" x14ac:dyDescent="0.25">
      <c r="A2" t="s">
        <v>13</v>
      </c>
    </row>
    <row r="3" spans="1:10" x14ac:dyDescent="0.25">
      <c r="A3" t="s">
        <v>0</v>
      </c>
      <c r="B3">
        <v>35255.879999999997</v>
      </c>
    </row>
    <row r="4" spans="1:10" x14ac:dyDescent="0.25">
      <c r="A4" t="s">
        <v>1</v>
      </c>
      <c r="B4">
        <v>11749.98</v>
      </c>
    </row>
    <row r="5" spans="1:10" x14ac:dyDescent="0.25">
      <c r="A5" t="s">
        <v>2</v>
      </c>
      <c r="B5">
        <v>1352.57</v>
      </c>
      <c r="C5" s="1">
        <v>0.05</v>
      </c>
    </row>
    <row r="6" spans="1:10" x14ac:dyDescent="0.25">
      <c r="A6" t="s">
        <v>10</v>
      </c>
      <c r="B6" s="1" t="s">
        <v>20</v>
      </c>
      <c r="C6" s="1">
        <v>0.08</v>
      </c>
    </row>
    <row r="7" spans="1:10" x14ac:dyDescent="0.25">
      <c r="A7" t="s">
        <v>3</v>
      </c>
      <c r="B7">
        <v>1814.4</v>
      </c>
    </row>
    <row r="8" spans="1:10" x14ac:dyDescent="0.25">
      <c r="A8" t="s">
        <v>5</v>
      </c>
      <c r="B8">
        <v>2420</v>
      </c>
    </row>
    <row r="9" spans="1:10" x14ac:dyDescent="0.25">
      <c r="A9" t="s">
        <v>4</v>
      </c>
      <c r="B9">
        <v>440</v>
      </c>
    </row>
    <row r="10" spans="1:10" x14ac:dyDescent="0.25">
      <c r="A10" s="3" t="s">
        <v>6</v>
      </c>
      <c r="B10" s="3">
        <v>660</v>
      </c>
    </row>
    <row r="11" spans="1:10" x14ac:dyDescent="0.25">
      <c r="A11" s="3" t="s">
        <v>7</v>
      </c>
      <c r="B11" s="3">
        <v>2200</v>
      </c>
    </row>
    <row r="12" spans="1:10" x14ac:dyDescent="0.25">
      <c r="A12" s="3" t="s">
        <v>8</v>
      </c>
      <c r="B12" s="3">
        <v>3300</v>
      </c>
      <c r="F12" t="s">
        <v>130</v>
      </c>
      <c r="G12">
        <v>69267.83</v>
      </c>
      <c r="J12">
        <f>(43.12/G14)*G12</f>
        <v>294.85274579215991</v>
      </c>
    </row>
    <row r="13" spans="1:10" x14ac:dyDescent="0.25">
      <c r="A13" s="3" t="s">
        <v>9</v>
      </c>
      <c r="B13" s="3">
        <v>3300</v>
      </c>
      <c r="F13" t="s">
        <v>131</v>
      </c>
      <c r="G13">
        <v>420</v>
      </c>
    </row>
    <row r="14" spans="1:10" x14ac:dyDescent="0.25">
      <c r="A14" s="3" t="s">
        <v>12</v>
      </c>
      <c r="B14" s="3">
        <v>1540</v>
      </c>
      <c r="F14" t="s">
        <v>132</v>
      </c>
      <c r="G14">
        <v>10129.899999999998</v>
      </c>
    </row>
    <row r="15" spans="1:10" x14ac:dyDescent="0.25">
      <c r="A15" s="3" t="s">
        <v>11</v>
      </c>
      <c r="B15" s="3">
        <v>1100</v>
      </c>
      <c r="C15">
        <f>SUM(B10:B15)</f>
        <v>12100</v>
      </c>
    </row>
    <row r="16" spans="1:10" x14ac:dyDescent="0.25">
      <c r="A16" t="s">
        <v>14</v>
      </c>
      <c r="B16">
        <v>755</v>
      </c>
    </row>
    <row r="17" spans="1:3" x14ac:dyDescent="0.25">
      <c r="A17" t="s">
        <v>15</v>
      </c>
      <c r="B17">
        <v>300</v>
      </c>
    </row>
    <row r="18" spans="1:3" x14ac:dyDescent="0.25">
      <c r="A18" t="s">
        <v>17</v>
      </c>
      <c r="B18">
        <v>2000</v>
      </c>
    </row>
    <row r="19" spans="1:3" x14ac:dyDescent="0.25">
      <c r="A19" t="s">
        <v>16</v>
      </c>
      <c r="B19">
        <v>200</v>
      </c>
    </row>
    <row r="20" spans="1:3" x14ac:dyDescent="0.25">
      <c r="A20" t="s">
        <v>18</v>
      </c>
      <c r="B20">
        <v>150</v>
      </c>
    </row>
    <row r="21" spans="1:3" x14ac:dyDescent="0.25">
      <c r="A21" t="s">
        <v>19</v>
      </c>
      <c r="B21">
        <v>430</v>
      </c>
    </row>
    <row r="22" spans="1:3" x14ac:dyDescent="0.25">
      <c r="A22" t="s">
        <v>24</v>
      </c>
      <c r="B22">
        <v>300</v>
      </c>
    </row>
    <row r="23" spans="1:3" x14ac:dyDescent="0.25">
      <c r="A23" t="s">
        <v>23</v>
      </c>
      <c r="B23">
        <f>SUM(B3:B22)</f>
        <v>69267.83</v>
      </c>
      <c r="C23" s="2">
        <f>B23/420</f>
        <v>164.92340476190478</v>
      </c>
    </row>
    <row r="24" spans="1:3" x14ac:dyDescent="0.25">
      <c r="C24" s="2">
        <f>((B23/420)/2.5)</f>
        <v>65.969361904761911</v>
      </c>
    </row>
    <row r="26" spans="1:3" x14ac:dyDescent="0.25">
      <c r="A26" t="s">
        <v>113</v>
      </c>
      <c r="B26">
        <f>B23-C15</f>
        <v>57167.83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E94D-596E-4C37-8688-CC399B60C346}">
  <sheetPr>
    <tabColor rgb="FFFFC000"/>
  </sheetPr>
  <dimension ref="A1:AP94"/>
  <sheetViews>
    <sheetView zoomScale="85" zoomScaleNormal="85" workbookViewId="0">
      <pane xSplit="1" ySplit="2" topLeftCell="N24" activePane="bottomRight" state="frozen"/>
      <selection pane="topRight" activeCell="B1" sqref="B1"/>
      <selection pane="bottomLeft" activeCell="A3" sqref="A3"/>
      <selection pane="bottomRight" activeCell="V47" sqref="V47"/>
    </sheetView>
  </sheetViews>
  <sheetFormatPr defaultColWidth="8.85546875" defaultRowHeight="15.75" x14ac:dyDescent="0.25"/>
  <cols>
    <col min="1" max="1" width="49.140625" bestFit="1" customWidth="1"/>
    <col min="2" max="2" width="19.7109375" bestFit="1" customWidth="1"/>
    <col min="3" max="3" width="8.42578125" bestFit="1" customWidth="1"/>
    <col min="4" max="4" width="14" style="8" customWidth="1"/>
    <col min="5" max="5" width="16.5703125" customWidth="1"/>
    <col min="6" max="7" width="15.42578125" customWidth="1"/>
    <col min="8" max="8" width="14.7109375" customWidth="1"/>
    <col min="9" max="9" width="17.140625" style="4" customWidth="1"/>
    <col min="10" max="10" width="14.7109375" customWidth="1"/>
    <col min="11" max="11" width="15.42578125" customWidth="1"/>
    <col min="12" max="12" width="16.140625" customWidth="1"/>
    <col min="13" max="13" width="13.5703125" customWidth="1"/>
    <col min="14" max="14" width="13.7109375" style="10" customWidth="1"/>
    <col min="15" max="15" width="14.7109375" style="10" customWidth="1"/>
    <col min="16" max="16" width="13.85546875" style="10" customWidth="1"/>
    <col min="17" max="18" width="15.7109375" style="10" customWidth="1"/>
    <col min="19" max="19" width="16" style="10" customWidth="1"/>
    <col min="20" max="20" width="16.28515625" style="10" customWidth="1"/>
    <col min="21" max="21" width="10.28515625" style="10" customWidth="1"/>
    <col min="22" max="22" width="14" style="10" customWidth="1"/>
    <col min="23" max="23" width="13.42578125" style="10" customWidth="1"/>
    <col min="24" max="24" width="16.28515625" style="10" customWidth="1"/>
    <col min="25" max="25" width="14.140625" style="10" customWidth="1"/>
    <col min="26" max="26" width="13.42578125" style="10" customWidth="1"/>
    <col min="27" max="27" width="14.85546875" style="10" customWidth="1"/>
    <col min="28" max="28" width="16.28515625" style="10" customWidth="1"/>
    <col min="29" max="29" width="14.28515625" style="10" customWidth="1"/>
    <col min="30" max="30" width="15.5703125" style="10" customWidth="1"/>
    <col min="31" max="31" width="13.7109375" style="10" customWidth="1"/>
    <col min="32" max="32" width="13.28515625" style="10" customWidth="1"/>
    <col min="33" max="33" width="14.7109375" style="10" customWidth="1"/>
    <col min="34" max="34" width="13.7109375" customWidth="1"/>
    <col min="35" max="35" width="13.42578125" customWidth="1"/>
    <col min="36" max="36" width="14.5703125" customWidth="1"/>
    <col min="37" max="38" width="16.28515625" style="10" customWidth="1"/>
    <col min="39" max="39" width="13.28515625" style="10" customWidth="1"/>
    <col min="40" max="40" width="15.28515625" style="9" customWidth="1"/>
    <col min="41" max="41" width="15.28515625" style="11" customWidth="1"/>
    <col min="42" max="42" width="27.85546875" bestFit="1" customWidth="1"/>
    <col min="43" max="43" width="11.7109375" bestFit="1" customWidth="1"/>
  </cols>
  <sheetData>
    <row r="1" spans="1:42" ht="59.45" customHeight="1" thickBot="1" x14ac:dyDescent="0.3">
      <c r="A1" s="4" t="s">
        <v>21</v>
      </c>
      <c r="B1" s="4" t="s">
        <v>115</v>
      </c>
      <c r="C1" s="5" t="s">
        <v>145</v>
      </c>
      <c r="D1" s="6" t="s">
        <v>140</v>
      </c>
      <c r="E1" s="5" t="s">
        <v>139</v>
      </c>
      <c r="F1" s="5" t="s">
        <v>134</v>
      </c>
      <c r="G1" s="5" t="s">
        <v>135</v>
      </c>
      <c r="H1" s="5" t="s">
        <v>146</v>
      </c>
      <c r="I1" s="5" t="s">
        <v>133</v>
      </c>
      <c r="J1" s="38" t="s">
        <v>182</v>
      </c>
      <c r="K1" s="32" t="s">
        <v>138</v>
      </c>
      <c r="L1" s="32" t="s">
        <v>136</v>
      </c>
      <c r="M1" s="32" t="s">
        <v>137</v>
      </c>
      <c r="N1" s="38" t="s">
        <v>141</v>
      </c>
      <c r="O1" s="5" t="s">
        <v>142</v>
      </c>
      <c r="P1" s="5" t="s">
        <v>172</v>
      </c>
      <c r="Q1" s="5" t="s">
        <v>152</v>
      </c>
      <c r="R1" s="5" t="s">
        <v>176</v>
      </c>
      <c r="S1" s="5" t="s">
        <v>154</v>
      </c>
      <c r="T1" s="5" t="s">
        <v>153</v>
      </c>
      <c r="U1" s="6" t="s">
        <v>151</v>
      </c>
      <c r="V1" s="68" t="s">
        <v>173</v>
      </c>
      <c r="W1" s="5" t="s">
        <v>174</v>
      </c>
      <c r="X1" s="63" t="s">
        <v>163</v>
      </c>
      <c r="Y1" s="63" t="s">
        <v>147</v>
      </c>
      <c r="Z1" s="63" t="s">
        <v>148</v>
      </c>
      <c r="AA1" s="63" t="s">
        <v>159</v>
      </c>
      <c r="AB1" s="63" t="s">
        <v>155</v>
      </c>
      <c r="AC1" s="63" t="s">
        <v>156</v>
      </c>
      <c r="AD1" s="63" t="s">
        <v>160</v>
      </c>
      <c r="AE1" s="63" t="s">
        <v>157</v>
      </c>
      <c r="AF1" s="63" t="s">
        <v>158</v>
      </c>
      <c r="AG1" s="63" t="s">
        <v>161</v>
      </c>
      <c r="AH1" s="63" t="s">
        <v>149</v>
      </c>
      <c r="AI1" s="63" t="s">
        <v>150</v>
      </c>
      <c r="AJ1" s="63" t="s">
        <v>162</v>
      </c>
      <c r="AK1" s="5" t="s">
        <v>144</v>
      </c>
      <c r="AL1" s="33" t="s">
        <v>183</v>
      </c>
      <c r="AM1" s="56" t="s">
        <v>143</v>
      </c>
      <c r="AN1"/>
      <c r="AO1"/>
    </row>
    <row r="2" spans="1:42" ht="67.150000000000006" customHeight="1" thickBot="1" x14ac:dyDescent="0.3">
      <c r="N2" s="86" t="s">
        <v>185</v>
      </c>
      <c r="O2" s="38" t="s">
        <v>175</v>
      </c>
      <c r="P2" s="67" t="s">
        <v>180</v>
      </c>
      <c r="Q2" s="5"/>
      <c r="R2" s="67" t="s">
        <v>186</v>
      </c>
      <c r="S2" s="67" t="s">
        <v>178</v>
      </c>
      <c r="T2" s="5"/>
      <c r="U2" s="5"/>
      <c r="V2" s="95" t="s">
        <v>179</v>
      </c>
      <c r="W2" s="67" t="s">
        <v>181</v>
      </c>
      <c r="Y2" s="73" t="s">
        <v>165</v>
      </c>
      <c r="Z2" s="87" t="s">
        <v>184</v>
      </c>
      <c r="AA2" s="74" t="s">
        <v>168</v>
      </c>
      <c r="AB2" s="75" t="s">
        <v>164</v>
      </c>
      <c r="AC2" s="88" t="s">
        <v>184</v>
      </c>
      <c r="AD2" s="76" t="s">
        <v>169</v>
      </c>
      <c r="AE2" s="77" t="s">
        <v>166</v>
      </c>
      <c r="AF2" s="89" t="s">
        <v>184</v>
      </c>
      <c r="AG2" s="77" t="s">
        <v>170</v>
      </c>
      <c r="AH2" s="78" t="s">
        <v>167</v>
      </c>
      <c r="AI2" s="90" t="s">
        <v>184</v>
      </c>
      <c r="AJ2" s="78" t="s">
        <v>171</v>
      </c>
    </row>
    <row r="3" spans="1:42" ht="16.5" thickBot="1" x14ac:dyDescent="0.3">
      <c r="A3" t="s">
        <v>48</v>
      </c>
      <c r="B3" s="12" t="s">
        <v>116</v>
      </c>
      <c r="C3" s="4">
        <v>4</v>
      </c>
      <c r="D3" s="7">
        <v>7.06</v>
      </c>
      <c r="E3" s="28">
        <v>28.24</v>
      </c>
      <c r="F3" s="28">
        <f t="shared" ref="F3:F34" si="0">D3*22</f>
        <v>155.32</v>
      </c>
      <c r="G3" s="4">
        <f t="shared" ref="G3:G34" si="1">SUM(F3*C3)</f>
        <v>621.28</v>
      </c>
      <c r="H3" s="28">
        <v>487.52</v>
      </c>
      <c r="I3" s="28">
        <v>322.74</v>
      </c>
      <c r="J3" s="39">
        <f t="shared" ref="J3:J34" si="2">L3-K3</f>
        <v>140.6543829593268</v>
      </c>
      <c r="K3" s="30">
        <f>(F3/$G$92)*Costs!$B$23</f>
        <v>229.71598741104353</v>
      </c>
      <c r="L3" s="30">
        <f t="shared" ref="L3:L34" si="3">N3/1.08</f>
        <v>370.37037037037032</v>
      </c>
      <c r="M3" s="30">
        <f t="shared" ref="M3:M34" si="4">L3*0.08</f>
        <v>29.629629629629626</v>
      </c>
      <c r="N3" s="39">
        <v>400</v>
      </c>
      <c r="O3" s="25">
        <f>Table1[[#This Row],[Total Selling Price / Unit (MVR)]]*Table1[[#This Row],[Qty 
(NOS)]]</f>
        <v>1600</v>
      </c>
      <c r="P3" s="64"/>
      <c r="Q3" s="7">
        <v>21.36</v>
      </c>
      <c r="R3" s="28">
        <f t="shared" ref="R3:R34" si="5">Q3*22</f>
        <v>469.91999999999996</v>
      </c>
      <c r="S3" s="28">
        <v>487.52</v>
      </c>
      <c r="T3" s="7">
        <v>22.16</v>
      </c>
      <c r="U3" s="7">
        <v>7.06</v>
      </c>
      <c r="V3" s="69">
        <v>155.32</v>
      </c>
      <c r="W3" s="28">
        <v>322.74</v>
      </c>
      <c r="X3" s="28">
        <v>400</v>
      </c>
      <c r="Y3" s="25">
        <f t="shared" ref="Y3:Y34" si="6">T3*15.42</f>
        <v>341.7072</v>
      </c>
      <c r="Z3" s="25">
        <f t="shared" ref="Z3:Z34" si="7">Y3*1.08</f>
        <v>369.04377600000004</v>
      </c>
      <c r="AA3" s="25">
        <f t="shared" ref="AA3:AA34" si="8">C3*Z3</f>
        <v>1476.1751040000001</v>
      </c>
      <c r="AB3" s="25">
        <f t="shared" ref="AB3:AB34" si="9">(T3+9)*15.42</f>
        <v>480.48719999999997</v>
      </c>
      <c r="AC3" s="25">
        <f t="shared" ref="AC3:AC34" si="10">AB3*1.08</f>
        <v>518.92617600000005</v>
      </c>
      <c r="AD3" s="25">
        <f t="shared" ref="AD3:AD34" si="11">C3*AC3</f>
        <v>2075.7047040000002</v>
      </c>
      <c r="AE3" s="25">
        <f t="shared" ref="AE3:AE34" si="12">T3*22</f>
        <v>487.52</v>
      </c>
      <c r="AF3" s="25">
        <f t="shared" ref="AF3:AF34" si="13">AE3*1.08</f>
        <v>526.52160000000003</v>
      </c>
      <c r="AG3" s="25">
        <f t="shared" ref="AG3:AG34" si="14">C3*AF3</f>
        <v>2106.0864000000001</v>
      </c>
      <c r="AH3" s="25">
        <f t="shared" ref="AH3:AH34" si="15">(T3+9)*22</f>
        <v>685.52</v>
      </c>
      <c r="AI3" s="25">
        <f t="shared" ref="AI3:AI34" si="16">AH3*1.08</f>
        <v>740.36160000000007</v>
      </c>
      <c r="AJ3" s="25">
        <f t="shared" ref="AJ3:AJ34" si="17">C3*AI3</f>
        <v>2961.4464000000003</v>
      </c>
      <c r="AK3" s="22">
        <f>Table1[[#This Row],[Total Selling Price / Unit (MVR)]]/Table1[[#This Row],[CNF / Unit
(MVR)]]</f>
        <v>2.5753283543651815</v>
      </c>
      <c r="AL3" s="34">
        <f>Table1[[#This Row],[Total Selling Price / Unit (MVR)]]-(Table1[[#This Row],[GST 8%
(MVR)]]+Table1[[#This Row],[Weighted max
expense (MVR)]])</f>
        <v>140.65438295932682</v>
      </c>
      <c r="AM3" s="35">
        <f>Table1[[#This Row],[Profit / Unit (MVR)]]*Table1[[#This Row],[Qty 
(NOS)]]</f>
        <v>562.6175318373073</v>
      </c>
    </row>
    <row r="4" spans="1:42" ht="16.5" thickBot="1" x14ac:dyDescent="0.3">
      <c r="A4" t="s">
        <v>54</v>
      </c>
      <c r="B4" s="12" t="s">
        <v>116</v>
      </c>
      <c r="C4" s="4">
        <v>4</v>
      </c>
      <c r="D4" s="7">
        <v>3.9</v>
      </c>
      <c r="E4" s="28">
        <v>15.6</v>
      </c>
      <c r="F4" s="28">
        <f t="shared" si="0"/>
        <v>85.8</v>
      </c>
      <c r="G4" s="4">
        <f t="shared" si="1"/>
        <v>343.2</v>
      </c>
      <c r="H4" s="28">
        <v>119.02000000000001</v>
      </c>
      <c r="I4" s="28">
        <v>176.22</v>
      </c>
      <c r="J4" s="40">
        <f t="shared" si="2"/>
        <v>39.769733110991041</v>
      </c>
      <c r="K4" s="31">
        <f>(F4/$G$92)*Costs!$B$23</f>
        <v>126.89693355567562</v>
      </c>
      <c r="L4" s="31">
        <f t="shared" si="3"/>
        <v>166.66666666666666</v>
      </c>
      <c r="M4" s="31">
        <f t="shared" si="4"/>
        <v>13.333333333333332</v>
      </c>
      <c r="N4" s="40">
        <v>180</v>
      </c>
      <c r="O4" s="25">
        <f>Table1[[#This Row],[Total Selling Price / Unit (MVR)]]*Table1[[#This Row],[Qty 
(NOS)]]</f>
        <v>720</v>
      </c>
      <c r="P4" s="64"/>
      <c r="Q4" s="7">
        <v>5.21</v>
      </c>
      <c r="R4" s="28">
        <f t="shared" si="5"/>
        <v>114.62</v>
      </c>
      <c r="S4" s="28">
        <v>119.02000000000001</v>
      </c>
      <c r="T4" s="7">
        <v>5.41</v>
      </c>
      <c r="U4" s="7">
        <v>3.9</v>
      </c>
      <c r="V4" s="70">
        <v>85.8</v>
      </c>
      <c r="W4" s="28">
        <v>176.22</v>
      </c>
      <c r="X4" s="28">
        <v>180</v>
      </c>
      <c r="Y4" s="25">
        <f t="shared" si="6"/>
        <v>83.422200000000004</v>
      </c>
      <c r="Z4" s="25">
        <f t="shared" si="7"/>
        <v>90.095976000000007</v>
      </c>
      <c r="AA4" s="25">
        <f t="shared" si="8"/>
        <v>360.38390400000003</v>
      </c>
      <c r="AB4" s="25">
        <f t="shared" si="9"/>
        <v>222.2022</v>
      </c>
      <c r="AC4" s="25">
        <f t="shared" si="10"/>
        <v>239.97837600000003</v>
      </c>
      <c r="AD4" s="25">
        <f t="shared" si="11"/>
        <v>959.9135040000001</v>
      </c>
      <c r="AE4" s="25">
        <f t="shared" si="12"/>
        <v>119.02000000000001</v>
      </c>
      <c r="AF4" s="25">
        <f t="shared" si="13"/>
        <v>128.54160000000002</v>
      </c>
      <c r="AG4" s="25">
        <f t="shared" si="14"/>
        <v>514.16640000000007</v>
      </c>
      <c r="AH4" s="25">
        <f t="shared" si="15"/>
        <v>317.02</v>
      </c>
      <c r="AI4" s="25">
        <f t="shared" si="16"/>
        <v>342.38159999999999</v>
      </c>
      <c r="AJ4" s="25">
        <f t="shared" si="17"/>
        <v>1369.5264</v>
      </c>
      <c r="AK4" s="22">
        <f>Table1[[#This Row],[Total Selling Price / Unit (MVR)]]/Table1[[#This Row],[CNF / Unit
(MVR)]]</f>
        <v>2.0979020979020979</v>
      </c>
      <c r="AL4" s="36">
        <f>Table1[[#This Row],[Total Selling Price / Unit (MVR)]]-(Table1[[#This Row],[GST 8%
(MVR)]]+Table1[[#This Row],[Weighted max
expense (MVR)]])</f>
        <v>39.769733110991041</v>
      </c>
      <c r="AM4" s="37">
        <f>Table1[[#This Row],[Profit / Unit (MVR)]]*Table1[[#This Row],[Qty 
(NOS)]]</f>
        <v>159.07893244396416</v>
      </c>
      <c r="AO4" s="51" t="s">
        <v>126</v>
      </c>
      <c r="AP4" s="91">
        <f>O92</f>
        <v>136161</v>
      </c>
    </row>
    <row r="5" spans="1:42" ht="16.5" thickBot="1" x14ac:dyDescent="0.3">
      <c r="A5" t="s">
        <v>25</v>
      </c>
      <c r="B5" s="12" t="s">
        <v>116</v>
      </c>
      <c r="C5" s="4">
        <v>7</v>
      </c>
      <c r="D5" s="7">
        <v>7.06</v>
      </c>
      <c r="E5" s="28">
        <v>49.419999999999995</v>
      </c>
      <c r="F5" s="28">
        <f t="shared" si="0"/>
        <v>155.32</v>
      </c>
      <c r="G5" s="4">
        <f t="shared" si="1"/>
        <v>1087.24</v>
      </c>
      <c r="H5" s="28">
        <v>487.52</v>
      </c>
      <c r="I5" s="28">
        <v>322.74</v>
      </c>
      <c r="J5" s="39">
        <f t="shared" si="2"/>
        <v>140.6543829593268</v>
      </c>
      <c r="K5" s="30">
        <f>(F5/$G$92)*Costs!$B$23</f>
        <v>229.71598741104353</v>
      </c>
      <c r="L5" s="30">
        <f t="shared" si="3"/>
        <v>370.37037037037032</v>
      </c>
      <c r="M5" s="30">
        <f t="shared" si="4"/>
        <v>29.629629629629626</v>
      </c>
      <c r="N5" s="39">
        <v>400</v>
      </c>
      <c r="O5" s="25">
        <f>Table1[[#This Row],[Total Selling Price / Unit (MVR)]]*Table1[[#This Row],[Qty 
(NOS)]]</f>
        <v>2800</v>
      </c>
      <c r="P5" s="64"/>
      <c r="Q5" s="7">
        <v>21.36</v>
      </c>
      <c r="R5" s="28">
        <f t="shared" si="5"/>
        <v>469.91999999999996</v>
      </c>
      <c r="S5" s="28">
        <v>487.52</v>
      </c>
      <c r="T5" s="7">
        <v>22.16</v>
      </c>
      <c r="U5" s="7">
        <v>7.06</v>
      </c>
      <c r="V5" s="69">
        <v>155.32</v>
      </c>
      <c r="W5" s="28">
        <v>322.74</v>
      </c>
      <c r="X5" s="28">
        <v>400</v>
      </c>
      <c r="Y5" s="25">
        <f t="shared" si="6"/>
        <v>341.7072</v>
      </c>
      <c r="Z5" s="25">
        <f t="shared" si="7"/>
        <v>369.04377600000004</v>
      </c>
      <c r="AA5" s="25">
        <f t="shared" si="8"/>
        <v>2583.3064320000003</v>
      </c>
      <c r="AB5" s="25">
        <f t="shared" si="9"/>
        <v>480.48719999999997</v>
      </c>
      <c r="AC5" s="25">
        <f t="shared" si="10"/>
        <v>518.92617600000005</v>
      </c>
      <c r="AD5" s="25">
        <f t="shared" si="11"/>
        <v>3632.4832320000005</v>
      </c>
      <c r="AE5" s="25">
        <f t="shared" si="12"/>
        <v>487.52</v>
      </c>
      <c r="AF5" s="25">
        <f t="shared" si="13"/>
        <v>526.52160000000003</v>
      </c>
      <c r="AG5" s="25">
        <f t="shared" si="14"/>
        <v>3685.6512000000002</v>
      </c>
      <c r="AH5" s="25">
        <f t="shared" si="15"/>
        <v>685.52</v>
      </c>
      <c r="AI5" s="25">
        <f t="shared" si="16"/>
        <v>740.36160000000007</v>
      </c>
      <c r="AJ5" s="25">
        <f t="shared" si="17"/>
        <v>5182.5312000000004</v>
      </c>
      <c r="AK5" s="24">
        <f>Table1[[#This Row],[Total Selling Price / Unit (MVR)]]/Table1[[#This Row],[CNF / Unit
(MVR)]]</f>
        <v>2.5753283543651815</v>
      </c>
      <c r="AL5" s="34">
        <f>Table1[[#This Row],[Total Selling Price / Unit (MVR)]]-(Table1[[#This Row],[GST 8%
(MVR)]]+Table1[[#This Row],[Weighted max
expense (MVR)]])</f>
        <v>140.65438295932682</v>
      </c>
      <c r="AM5" s="35">
        <f>Table1[[#This Row],[Profit / Unit (MVR)]]*Table1[[#This Row],[Qty 
(NOS)]]</f>
        <v>984.58068071528783</v>
      </c>
      <c r="AO5" s="52" t="s">
        <v>127</v>
      </c>
      <c r="AP5" s="92">
        <f>Costs!B23</f>
        <v>69267.83</v>
      </c>
    </row>
    <row r="6" spans="1:42" ht="16.5" thickBot="1" x14ac:dyDescent="0.3">
      <c r="A6" t="s">
        <v>26</v>
      </c>
      <c r="B6" s="12" t="s">
        <v>116</v>
      </c>
      <c r="C6" s="4">
        <v>7</v>
      </c>
      <c r="D6" s="7">
        <v>4.24</v>
      </c>
      <c r="E6" s="28">
        <v>29.68</v>
      </c>
      <c r="F6" s="28">
        <f t="shared" si="0"/>
        <v>93.28</v>
      </c>
      <c r="G6" s="4">
        <f t="shared" si="1"/>
        <v>652.96</v>
      </c>
      <c r="H6" s="28">
        <v>407.66</v>
      </c>
      <c r="I6" s="28">
        <v>162.35999999999999</v>
      </c>
      <c r="J6" s="40">
        <f t="shared" si="2"/>
        <v>186.11433092636523</v>
      </c>
      <c r="K6" s="31">
        <f>(F6/$G$92)*Costs!$B$23</f>
        <v>137.95974314770885</v>
      </c>
      <c r="L6" s="31">
        <f t="shared" si="3"/>
        <v>324.07407407407408</v>
      </c>
      <c r="M6" s="31">
        <f t="shared" si="4"/>
        <v>25.925925925925927</v>
      </c>
      <c r="N6" s="40">
        <v>350</v>
      </c>
      <c r="O6" s="25">
        <f>Table1[[#This Row],[Total Selling Price / Unit (MVR)]]*Table1[[#This Row],[Qty 
(NOS)]]</f>
        <v>2450</v>
      </c>
      <c r="P6" s="64"/>
      <c r="Q6" s="61">
        <v>17.86</v>
      </c>
      <c r="R6" s="72">
        <f t="shared" si="5"/>
        <v>392.91999999999996</v>
      </c>
      <c r="S6" s="28">
        <v>407.66</v>
      </c>
      <c r="T6" s="7">
        <v>18.53</v>
      </c>
      <c r="U6" s="7">
        <v>4.24</v>
      </c>
      <c r="V6" s="70">
        <v>93.28</v>
      </c>
      <c r="W6" s="28">
        <v>162.35999999999999</v>
      </c>
      <c r="X6" s="28">
        <v>350</v>
      </c>
      <c r="Y6" s="25">
        <f t="shared" si="6"/>
        <v>285.73259999999999</v>
      </c>
      <c r="Z6" s="25">
        <f t="shared" si="7"/>
        <v>308.59120799999999</v>
      </c>
      <c r="AA6" s="25">
        <f t="shared" si="8"/>
        <v>2160.1384560000001</v>
      </c>
      <c r="AB6" s="25">
        <f t="shared" si="9"/>
        <v>424.51260000000002</v>
      </c>
      <c r="AC6" s="25">
        <f t="shared" si="10"/>
        <v>458.47360800000007</v>
      </c>
      <c r="AD6" s="25">
        <f t="shared" si="11"/>
        <v>3209.3152560000003</v>
      </c>
      <c r="AE6" s="25">
        <f t="shared" si="12"/>
        <v>407.66</v>
      </c>
      <c r="AF6" s="25">
        <f t="shared" si="13"/>
        <v>440.27280000000007</v>
      </c>
      <c r="AG6" s="25">
        <f t="shared" si="14"/>
        <v>3081.9096000000004</v>
      </c>
      <c r="AH6" s="25">
        <f t="shared" si="15"/>
        <v>605.66000000000008</v>
      </c>
      <c r="AI6" s="25">
        <f t="shared" si="16"/>
        <v>654.11280000000011</v>
      </c>
      <c r="AJ6" s="25">
        <f t="shared" si="17"/>
        <v>4578.789600000001</v>
      </c>
      <c r="AK6" s="22">
        <f>Table1[[#This Row],[Total Selling Price / Unit (MVR)]]/Table1[[#This Row],[CNF / Unit
(MVR)]]</f>
        <v>3.7521440823327614</v>
      </c>
      <c r="AL6" s="36">
        <f>Table1[[#This Row],[Total Selling Price / Unit (MVR)]]-(Table1[[#This Row],[GST 8%
(MVR)]]+Table1[[#This Row],[Weighted max
expense (MVR)]])</f>
        <v>186.11433092636523</v>
      </c>
      <c r="AM6" s="37">
        <f>Table1[[#This Row],[Profit / Unit (MVR)]]*Table1[[#This Row],[Qty 
(NOS)]]</f>
        <v>1302.8003164845566</v>
      </c>
      <c r="AO6" s="53" t="s">
        <v>128</v>
      </c>
      <c r="AP6" s="93">
        <f>AP4-AP5</f>
        <v>66893.17</v>
      </c>
    </row>
    <row r="7" spans="1:42" ht="16.5" thickBot="1" x14ac:dyDescent="0.3">
      <c r="A7" t="s">
        <v>29</v>
      </c>
      <c r="B7" s="12" t="s">
        <v>116</v>
      </c>
      <c r="C7" s="4">
        <v>7</v>
      </c>
      <c r="D7" s="7">
        <v>3.9</v>
      </c>
      <c r="E7" s="28">
        <v>27.3</v>
      </c>
      <c r="F7" s="28">
        <f t="shared" si="0"/>
        <v>85.8</v>
      </c>
      <c r="G7" s="4">
        <f t="shared" si="1"/>
        <v>600.6</v>
      </c>
      <c r="H7" s="28">
        <v>119.02000000000001</v>
      </c>
      <c r="I7" s="28">
        <v>176.22</v>
      </c>
      <c r="J7" s="39">
        <f t="shared" si="2"/>
        <v>39.769733110991041</v>
      </c>
      <c r="K7" s="30">
        <f>(F7/$G$92)*Costs!$B$23</f>
        <v>126.89693355567562</v>
      </c>
      <c r="L7" s="30">
        <f t="shared" si="3"/>
        <v>166.66666666666666</v>
      </c>
      <c r="M7" s="30">
        <f t="shared" si="4"/>
        <v>13.333333333333332</v>
      </c>
      <c r="N7" s="39">
        <v>180</v>
      </c>
      <c r="O7" s="25">
        <f>Table1[[#This Row],[Total Selling Price / Unit (MVR)]]*Table1[[#This Row],[Qty 
(NOS)]]</f>
        <v>1260</v>
      </c>
      <c r="P7" s="64"/>
      <c r="Q7" s="7">
        <v>5.21</v>
      </c>
      <c r="R7" s="28">
        <f t="shared" si="5"/>
        <v>114.62</v>
      </c>
      <c r="S7" s="28">
        <v>119.02000000000001</v>
      </c>
      <c r="T7" s="7">
        <v>5.41</v>
      </c>
      <c r="U7" s="7">
        <v>3.9</v>
      </c>
      <c r="V7" s="69">
        <v>85.8</v>
      </c>
      <c r="W7" s="28">
        <v>176.22</v>
      </c>
      <c r="X7" s="28">
        <v>180</v>
      </c>
      <c r="Y7" s="25">
        <f t="shared" si="6"/>
        <v>83.422200000000004</v>
      </c>
      <c r="Z7" s="25">
        <f t="shared" si="7"/>
        <v>90.095976000000007</v>
      </c>
      <c r="AA7" s="25">
        <f t="shared" si="8"/>
        <v>630.67183199999999</v>
      </c>
      <c r="AB7" s="25">
        <f t="shared" si="9"/>
        <v>222.2022</v>
      </c>
      <c r="AC7" s="25">
        <f t="shared" si="10"/>
        <v>239.97837600000003</v>
      </c>
      <c r="AD7" s="25">
        <f t="shared" si="11"/>
        <v>1679.8486320000002</v>
      </c>
      <c r="AE7" s="25">
        <f t="shared" si="12"/>
        <v>119.02000000000001</v>
      </c>
      <c r="AF7" s="25">
        <f t="shared" si="13"/>
        <v>128.54160000000002</v>
      </c>
      <c r="AG7" s="25">
        <f t="shared" si="14"/>
        <v>899.79120000000012</v>
      </c>
      <c r="AH7" s="25">
        <f t="shared" si="15"/>
        <v>317.02</v>
      </c>
      <c r="AI7" s="25">
        <f t="shared" si="16"/>
        <v>342.38159999999999</v>
      </c>
      <c r="AJ7" s="25">
        <f t="shared" si="17"/>
        <v>2396.6711999999998</v>
      </c>
      <c r="AK7" s="22">
        <f>Table1[[#This Row],[Total Selling Price / Unit (MVR)]]/Table1[[#This Row],[CNF / Unit
(MVR)]]</f>
        <v>2.0979020979020979</v>
      </c>
      <c r="AL7" s="34">
        <f>Table1[[#This Row],[Total Selling Price / Unit (MVR)]]-(Table1[[#This Row],[GST 8%
(MVR)]]+Table1[[#This Row],[Weighted max
expense (MVR)]])</f>
        <v>39.769733110991041</v>
      </c>
      <c r="AM7" s="35">
        <f>Table1[[#This Row],[Profit / Unit (MVR)]]*Table1[[#This Row],[Qty 
(NOS)]]</f>
        <v>278.38813177693726</v>
      </c>
      <c r="AN7"/>
      <c r="AO7" s="54" t="s">
        <v>129</v>
      </c>
      <c r="AP7" s="94">
        <f>AP4*60%</f>
        <v>81696.599999999991</v>
      </c>
    </row>
    <row r="8" spans="1:42" x14ac:dyDescent="0.25">
      <c r="A8" t="s">
        <v>52</v>
      </c>
      <c r="B8" s="12" t="s">
        <v>116</v>
      </c>
      <c r="C8" s="4">
        <v>8</v>
      </c>
      <c r="D8" s="7">
        <v>2.02</v>
      </c>
      <c r="E8" s="28">
        <v>16.16</v>
      </c>
      <c r="F8" s="28">
        <f t="shared" si="0"/>
        <v>44.44</v>
      </c>
      <c r="G8" s="4">
        <f t="shared" si="1"/>
        <v>355.52</v>
      </c>
      <c r="H8" s="28">
        <v>63.580000000000005</v>
      </c>
      <c r="I8" s="28">
        <v>161.69999999999999</v>
      </c>
      <c r="J8" s="40">
        <f t="shared" si="2"/>
        <v>54.644266323584546</v>
      </c>
      <c r="K8" s="31">
        <f>(F8/$G$92)*Costs!$B$23</f>
        <v>65.726104046785821</v>
      </c>
      <c r="L8" s="31">
        <f t="shared" si="3"/>
        <v>120.37037037037037</v>
      </c>
      <c r="M8" s="31">
        <f t="shared" si="4"/>
        <v>9.6296296296296298</v>
      </c>
      <c r="N8" s="40">
        <v>130</v>
      </c>
      <c r="O8" s="25">
        <f>Table1[[#This Row],[Total Selling Price / Unit (MVR)]]*Table1[[#This Row],[Qty 
(NOS)]]</f>
        <v>1040</v>
      </c>
      <c r="P8" s="64"/>
      <c r="Q8" s="7">
        <v>2.79</v>
      </c>
      <c r="R8" s="28">
        <f t="shared" si="5"/>
        <v>61.38</v>
      </c>
      <c r="S8" s="28">
        <v>63.580000000000005</v>
      </c>
      <c r="T8" s="7">
        <v>2.89</v>
      </c>
      <c r="U8" s="7">
        <v>2.02</v>
      </c>
      <c r="V8" s="70">
        <v>44.44</v>
      </c>
      <c r="W8" s="28">
        <v>161.69999999999999</v>
      </c>
      <c r="X8" s="28">
        <v>130</v>
      </c>
      <c r="Y8" s="25">
        <f t="shared" si="6"/>
        <v>44.563800000000001</v>
      </c>
      <c r="Z8" s="25">
        <f t="shared" si="7"/>
        <v>48.128904000000006</v>
      </c>
      <c r="AA8" s="25">
        <f t="shared" si="8"/>
        <v>385.03123200000005</v>
      </c>
      <c r="AB8" s="25">
        <f t="shared" si="9"/>
        <v>183.34380000000002</v>
      </c>
      <c r="AC8" s="25">
        <f t="shared" si="10"/>
        <v>198.01130400000002</v>
      </c>
      <c r="AD8" s="25">
        <f t="shared" si="11"/>
        <v>1584.0904320000002</v>
      </c>
      <c r="AE8" s="25">
        <f t="shared" si="12"/>
        <v>63.580000000000005</v>
      </c>
      <c r="AF8" s="25">
        <f t="shared" si="13"/>
        <v>68.66640000000001</v>
      </c>
      <c r="AG8" s="25">
        <f t="shared" si="14"/>
        <v>549.33120000000008</v>
      </c>
      <c r="AH8" s="25">
        <f t="shared" si="15"/>
        <v>261.58000000000004</v>
      </c>
      <c r="AI8" s="25">
        <f t="shared" si="16"/>
        <v>282.50640000000004</v>
      </c>
      <c r="AJ8" s="25">
        <f t="shared" si="17"/>
        <v>2260.0512000000003</v>
      </c>
      <c r="AK8" s="22">
        <f>Table1[[#This Row],[Total Selling Price / Unit (MVR)]]/Table1[[#This Row],[CNF / Unit
(MVR)]]</f>
        <v>2.9252925292529253</v>
      </c>
      <c r="AL8" s="36">
        <f>Table1[[#This Row],[Total Selling Price / Unit (MVR)]]-(Table1[[#This Row],[GST 8%
(MVR)]]+Table1[[#This Row],[Weighted max
expense (MVR)]])</f>
        <v>54.644266323584546</v>
      </c>
      <c r="AM8" s="37">
        <f>Table1[[#This Row],[Profit / Unit (MVR)]]*Table1[[#This Row],[Qty 
(NOS)]]</f>
        <v>437.15413058867637</v>
      </c>
      <c r="AN8"/>
      <c r="AO8"/>
    </row>
    <row r="9" spans="1:42" x14ac:dyDescent="0.25">
      <c r="A9" t="s">
        <v>49</v>
      </c>
      <c r="B9" s="12" t="s">
        <v>116</v>
      </c>
      <c r="C9" s="4">
        <v>4</v>
      </c>
      <c r="D9" s="7">
        <v>7.06</v>
      </c>
      <c r="E9" s="28">
        <v>28.24</v>
      </c>
      <c r="F9" s="28">
        <f t="shared" si="0"/>
        <v>155.32</v>
      </c>
      <c r="G9" s="4">
        <f t="shared" si="1"/>
        <v>621.28</v>
      </c>
      <c r="H9" s="28">
        <v>487.52</v>
      </c>
      <c r="I9" s="28">
        <v>322.74</v>
      </c>
      <c r="J9" s="39">
        <f t="shared" si="2"/>
        <v>140.6543829593268</v>
      </c>
      <c r="K9" s="30">
        <f>(F9/$G$92)*Costs!$B$23</f>
        <v>229.71598741104353</v>
      </c>
      <c r="L9" s="30">
        <f t="shared" si="3"/>
        <v>370.37037037037032</v>
      </c>
      <c r="M9" s="30">
        <f t="shared" si="4"/>
        <v>29.629629629629626</v>
      </c>
      <c r="N9" s="39">
        <v>400</v>
      </c>
      <c r="O9" s="25">
        <f>Table1[[#This Row],[Total Selling Price / Unit (MVR)]]*Table1[[#This Row],[Qty 
(NOS)]]</f>
        <v>1600</v>
      </c>
      <c r="P9" s="64"/>
      <c r="Q9" s="7">
        <v>21.36</v>
      </c>
      <c r="R9" s="28">
        <f t="shared" si="5"/>
        <v>469.91999999999996</v>
      </c>
      <c r="S9" s="28">
        <v>487.52</v>
      </c>
      <c r="T9" s="7">
        <v>22.16</v>
      </c>
      <c r="U9" s="7">
        <v>7.06</v>
      </c>
      <c r="V9" s="69">
        <v>155.32</v>
      </c>
      <c r="W9" s="28">
        <v>322.74</v>
      </c>
      <c r="X9" s="28">
        <v>400</v>
      </c>
      <c r="Y9" s="25">
        <f t="shared" si="6"/>
        <v>341.7072</v>
      </c>
      <c r="Z9" s="25">
        <f t="shared" si="7"/>
        <v>369.04377600000004</v>
      </c>
      <c r="AA9" s="25">
        <f t="shared" si="8"/>
        <v>1476.1751040000001</v>
      </c>
      <c r="AB9" s="25">
        <f t="shared" si="9"/>
        <v>480.48719999999997</v>
      </c>
      <c r="AC9" s="25">
        <f t="shared" si="10"/>
        <v>518.92617600000005</v>
      </c>
      <c r="AD9" s="25">
        <f t="shared" si="11"/>
        <v>2075.7047040000002</v>
      </c>
      <c r="AE9" s="25">
        <f t="shared" si="12"/>
        <v>487.52</v>
      </c>
      <c r="AF9" s="25">
        <f t="shared" si="13"/>
        <v>526.52160000000003</v>
      </c>
      <c r="AG9" s="25">
        <f t="shared" si="14"/>
        <v>2106.0864000000001</v>
      </c>
      <c r="AH9" s="25">
        <f t="shared" si="15"/>
        <v>685.52</v>
      </c>
      <c r="AI9" s="25">
        <f t="shared" si="16"/>
        <v>740.36160000000007</v>
      </c>
      <c r="AJ9" s="25">
        <f t="shared" si="17"/>
        <v>2961.4464000000003</v>
      </c>
      <c r="AK9" s="22">
        <f>Table1[[#This Row],[Total Selling Price / Unit (MVR)]]/Table1[[#This Row],[CNF / Unit
(MVR)]]</f>
        <v>2.5753283543651815</v>
      </c>
      <c r="AL9" s="34">
        <f>Table1[[#This Row],[Total Selling Price / Unit (MVR)]]-(Table1[[#This Row],[GST 8%
(MVR)]]+Table1[[#This Row],[Weighted max
expense (MVR)]])</f>
        <v>140.65438295932682</v>
      </c>
      <c r="AM9" s="35">
        <f>Table1[[#This Row],[Profit / Unit (MVR)]]*Table1[[#This Row],[Qty 
(NOS)]]</f>
        <v>562.6175318373073</v>
      </c>
      <c r="AN9"/>
      <c r="AO9"/>
    </row>
    <row r="10" spans="1:42" x14ac:dyDescent="0.25">
      <c r="A10" t="s">
        <v>51</v>
      </c>
      <c r="B10" s="12" t="s">
        <v>116</v>
      </c>
      <c r="C10" s="4">
        <v>4</v>
      </c>
      <c r="D10" s="7">
        <v>4.24</v>
      </c>
      <c r="E10" s="28">
        <v>16.96</v>
      </c>
      <c r="F10" s="28">
        <f t="shared" si="0"/>
        <v>93.28</v>
      </c>
      <c r="G10" s="4">
        <f t="shared" si="1"/>
        <v>373.12</v>
      </c>
      <c r="H10" s="28">
        <v>407.66</v>
      </c>
      <c r="I10" s="28">
        <v>162.35999999999999</v>
      </c>
      <c r="J10" s="40">
        <f t="shared" si="2"/>
        <v>186.11433092636523</v>
      </c>
      <c r="K10" s="31">
        <f>(F10/$G$92)*Costs!$B$23</f>
        <v>137.95974314770885</v>
      </c>
      <c r="L10" s="31">
        <f t="shared" si="3"/>
        <v>324.07407407407408</v>
      </c>
      <c r="M10" s="31">
        <f t="shared" si="4"/>
        <v>25.925925925925927</v>
      </c>
      <c r="N10" s="40">
        <v>350</v>
      </c>
      <c r="O10" s="25">
        <f>Table1[[#This Row],[Total Selling Price / Unit (MVR)]]*Table1[[#This Row],[Qty 
(NOS)]]</f>
        <v>1400</v>
      </c>
      <c r="P10" s="64"/>
      <c r="Q10" s="7">
        <v>17.86</v>
      </c>
      <c r="R10" s="28">
        <f t="shared" si="5"/>
        <v>392.91999999999996</v>
      </c>
      <c r="S10" s="28">
        <v>407.66</v>
      </c>
      <c r="T10" s="7">
        <v>18.53</v>
      </c>
      <c r="U10" s="7">
        <v>4.24</v>
      </c>
      <c r="V10" s="70">
        <v>93.28</v>
      </c>
      <c r="W10" s="28">
        <v>162.35999999999999</v>
      </c>
      <c r="X10" s="28">
        <v>350</v>
      </c>
      <c r="Y10" s="25">
        <f t="shared" si="6"/>
        <v>285.73259999999999</v>
      </c>
      <c r="Z10" s="25">
        <f t="shared" si="7"/>
        <v>308.59120799999999</v>
      </c>
      <c r="AA10" s="25">
        <f t="shared" si="8"/>
        <v>1234.364832</v>
      </c>
      <c r="AB10" s="25">
        <f t="shared" si="9"/>
        <v>424.51260000000002</v>
      </c>
      <c r="AC10" s="25">
        <f t="shared" si="10"/>
        <v>458.47360800000007</v>
      </c>
      <c r="AD10" s="25">
        <f t="shared" si="11"/>
        <v>1833.8944320000003</v>
      </c>
      <c r="AE10" s="25">
        <f t="shared" si="12"/>
        <v>407.66</v>
      </c>
      <c r="AF10" s="25">
        <f t="shared" si="13"/>
        <v>440.27280000000007</v>
      </c>
      <c r="AG10" s="25">
        <f t="shared" si="14"/>
        <v>1761.0912000000003</v>
      </c>
      <c r="AH10" s="25">
        <f t="shared" si="15"/>
        <v>605.66000000000008</v>
      </c>
      <c r="AI10" s="25">
        <f t="shared" si="16"/>
        <v>654.11280000000011</v>
      </c>
      <c r="AJ10" s="25">
        <f t="shared" si="17"/>
        <v>2616.4512000000004</v>
      </c>
      <c r="AK10" s="22">
        <f>Table1[[#This Row],[Total Selling Price / Unit (MVR)]]/Table1[[#This Row],[CNF / Unit
(MVR)]]</f>
        <v>3.7521440823327614</v>
      </c>
      <c r="AL10" s="36">
        <f>Table1[[#This Row],[Total Selling Price / Unit (MVR)]]-(Table1[[#This Row],[GST 8%
(MVR)]]+Table1[[#This Row],[Weighted max
expense (MVR)]])</f>
        <v>186.11433092636523</v>
      </c>
      <c r="AM10" s="37">
        <f>Table1[[#This Row],[Profit / Unit (MVR)]]*Table1[[#This Row],[Qty 
(NOS)]]</f>
        <v>744.45732370546091</v>
      </c>
      <c r="AN10"/>
      <c r="AO10"/>
    </row>
    <row r="11" spans="1:42" x14ac:dyDescent="0.25">
      <c r="A11" t="s">
        <v>53</v>
      </c>
      <c r="B11" s="12" t="s">
        <v>116</v>
      </c>
      <c r="C11" s="4">
        <v>4</v>
      </c>
      <c r="D11" s="7">
        <v>3.9</v>
      </c>
      <c r="E11" s="28">
        <v>15.6</v>
      </c>
      <c r="F11" s="28">
        <f t="shared" si="0"/>
        <v>85.8</v>
      </c>
      <c r="G11" s="4">
        <f t="shared" si="1"/>
        <v>343.2</v>
      </c>
      <c r="H11" s="28">
        <v>119.02000000000001</v>
      </c>
      <c r="I11" s="28">
        <v>176.22</v>
      </c>
      <c r="J11" s="39">
        <f t="shared" si="2"/>
        <v>39.769733110991041</v>
      </c>
      <c r="K11" s="30">
        <f>(F11/$G$92)*Costs!$B$23</f>
        <v>126.89693355567562</v>
      </c>
      <c r="L11" s="30">
        <f t="shared" si="3"/>
        <v>166.66666666666666</v>
      </c>
      <c r="M11" s="30">
        <f t="shared" si="4"/>
        <v>13.333333333333332</v>
      </c>
      <c r="N11" s="39">
        <v>180</v>
      </c>
      <c r="O11" s="25">
        <f>Table1[[#This Row],[Total Selling Price / Unit (MVR)]]*Table1[[#This Row],[Qty 
(NOS)]]</f>
        <v>720</v>
      </c>
      <c r="P11" s="64"/>
      <c r="Q11" s="7">
        <v>5.21</v>
      </c>
      <c r="R11" s="28">
        <f t="shared" si="5"/>
        <v>114.62</v>
      </c>
      <c r="S11" s="28">
        <v>119.02000000000001</v>
      </c>
      <c r="T11" s="7">
        <v>5.41</v>
      </c>
      <c r="U11" s="7">
        <v>3.9</v>
      </c>
      <c r="V11" s="69">
        <v>85.8</v>
      </c>
      <c r="W11" s="28">
        <v>176.22</v>
      </c>
      <c r="X11" s="28">
        <v>180</v>
      </c>
      <c r="Y11" s="25">
        <f t="shared" si="6"/>
        <v>83.422200000000004</v>
      </c>
      <c r="Z11" s="25">
        <f t="shared" si="7"/>
        <v>90.095976000000007</v>
      </c>
      <c r="AA11" s="25">
        <f t="shared" si="8"/>
        <v>360.38390400000003</v>
      </c>
      <c r="AB11" s="25">
        <f t="shared" si="9"/>
        <v>222.2022</v>
      </c>
      <c r="AC11" s="25">
        <f t="shared" si="10"/>
        <v>239.97837600000003</v>
      </c>
      <c r="AD11" s="25">
        <f t="shared" si="11"/>
        <v>959.9135040000001</v>
      </c>
      <c r="AE11" s="25">
        <f t="shared" si="12"/>
        <v>119.02000000000001</v>
      </c>
      <c r="AF11" s="25">
        <f t="shared" si="13"/>
        <v>128.54160000000002</v>
      </c>
      <c r="AG11" s="25">
        <f t="shared" si="14"/>
        <v>514.16640000000007</v>
      </c>
      <c r="AH11" s="25">
        <f t="shared" si="15"/>
        <v>317.02</v>
      </c>
      <c r="AI11" s="25">
        <f t="shared" si="16"/>
        <v>342.38159999999999</v>
      </c>
      <c r="AJ11" s="25">
        <f t="shared" si="17"/>
        <v>1369.5264</v>
      </c>
      <c r="AK11" s="22">
        <f>Table1[[#This Row],[Total Selling Price / Unit (MVR)]]/Table1[[#This Row],[CNF / Unit
(MVR)]]</f>
        <v>2.0979020979020979</v>
      </c>
      <c r="AL11" s="34">
        <f>Table1[[#This Row],[Total Selling Price / Unit (MVR)]]-(Table1[[#This Row],[GST 8%
(MVR)]]+Table1[[#This Row],[Weighted max
expense (MVR)]])</f>
        <v>39.769733110991041</v>
      </c>
      <c r="AM11" s="35">
        <f>Table1[[#This Row],[Profit / Unit (MVR)]]*Table1[[#This Row],[Qty 
(NOS)]]</f>
        <v>159.07893244396416</v>
      </c>
      <c r="AN11"/>
      <c r="AO11"/>
    </row>
    <row r="12" spans="1:42" x14ac:dyDescent="0.25">
      <c r="A12" t="s">
        <v>50</v>
      </c>
      <c r="B12" s="12" t="s">
        <v>116</v>
      </c>
      <c r="C12" s="4">
        <v>4</v>
      </c>
      <c r="D12" s="7">
        <v>7.06</v>
      </c>
      <c r="E12" s="28">
        <v>28.24</v>
      </c>
      <c r="F12" s="28">
        <f t="shared" si="0"/>
        <v>155.32</v>
      </c>
      <c r="G12" s="4">
        <f t="shared" si="1"/>
        <v>621.28</v>
      </c>
      <c r="H12" s="28">
        <v>487.52</v>
      </c>
      <c r="I12" s="28">
        <v>322.74</v>
      </c>
      <c r="J12" s="40">
        <f t="shared" si="2"/>
        <v>140.6543829593268</v>
      </c>
      <c r="K12" s="31">
        <f>(F12/$G$92)*Costs!$B$23</f>
        <v>229.71598741104353</v>
      </c>
      <c r="L12" s="31">
        <f t="shared" si="3"/>
        <v>370.37037037037032</v>
      </c>
      <c r="M12" s="31">
        <f t="shared" si="4"/>
        <v>29.629629629629626</v>
      </c>
      <c r="N12" s="40">
        <v>400</v>
      </c>
      <c r="O12" s="25">
        <f>Table1[[#This Row],[Total Selling Price / Unit (MVR)]]*Table1[[#This Row],[Qty 
(NOS)]]</f>
        <v>1600</v>
      </c>
      <c r="P12" s="64"/>
      <c r="Q12" s="7">
        <v>21.36</v>
      </c>
      <c r="R12" s="28">
        <f t="shared" si="5"/>
        <v>469.91999999999996</v>
      </c>
      <c r="S12" s="28">
        <v>487.52</v>
      </c>
      <c r="T12" s="7">
        <v>22.16</v>
      </c>
      <c r="U12" s="7">
        <v>7.06</v>
      </c>
      <c r="V12" s="70">
        <v>155.32</v>
      </c>
      <c r="W12" s="28">
        <v>322.74</v>
      </c>
      <c r="X12" s="28">
        <v>400</v>
      </c>
      <c r="Y12" s="25">
        <f t="shared" si="6"/>
        <v>341.7072</v>
      </c>
      <c r="Z12" s="25">
        <f t="shared" si="7"/>
        <v>369.04377600000004</v>
      </c>
      <c r="AA12" s="25">
        <f t="shared" si="8"/>
        <v>1476.1751040000001</v>
      </c>
      <c r="AB12" s="25">
        <f t="shared" si="9"/>
        <v>480.48719999999997</v>
      </c>
      <c r="AC12" s="25">
        <f t="shared" si="10"/>
        <v>518.92617600000005</v>
      </c>
      <c r="AD12" s="25">
        <f t="shared" si="11"/>
        <v>2075.7047040000002</v>
      </c>
      <c r="AE12" s="25">
        <f t="shared" si="12"/>
        <v>487.52</v>
      </c>
      <c r="AF12" s="25">
        <f t="shared" si="13"/>
        <v>526.52160000000003</v>
      </c>
      <c r="AG12" s="25">
        <f t="shared" si="14"/>
        <v>2106.0864000000001</v>
      </c>
      <c r="AH12" s="25">
        <f t="shared" si="15"/>
        <v>685.52</v>
      </c>
      <c r="AI12" s="25">
        <f t="shared" si="16"/>
        <v>740.36160000000007</v>
      </c>
      <c r="AJ12" s="25">
        <f t="shared" si="17"/>
        <v>2961.4464000000003</v>
      </c>
      <c r="AK12" s="22">
        <f>Table1[[#This Row],[Total Selling Price / Unit (MVR)]]/Table1[[#This Row],[CNF / Unit
(MVR)]]</f>
        <v>2.5753283543651815</v>
      </c>
      <c r="AL12" s="36">
        <f>Table1[[#This Row],[Total Selling Price / Unit (MVR)]]-(Table1[[#This Row],[GST 8%
(MVR)]]+Table1[[#This Row],[Weighted max
expense (MVR)]])</f>
        <v>140.65438295932682</v>
      </c>
      <c r="AM12" s="37">
        <f>Table1[[#This Row],[Profit / Unit (MVR)]]*Table1[[#This Row],[Qty 
(NOS)]]</f>
        <v>562.6175318373073</v>
      </c>
      <c r="AN12"/>
      <c r="AO12"/>
    </row>
    <row r="13" spans="1:42" x14ac:dyDescent="0.25">
      <c r="A13" t="s">
        <v>93</v>
      </c>
      <c r="B13" s="12" t="s">
        <v>116</v>
      </c>
      <c r="C13" s="4">
        <v>4</v>
      </c>
      <c r="D13" s="7">
        <v>7.06</v>
      </c>
      <c r="E13" s="28">
        <v>28.24</v>
      </c>
      <c r="F13" s="28">
        <f t="shared" si="0"/>
        <v>155.32</v>
      </c>
      <c r="G13" s="4">
        <f t="shared" si="1"/>
        <v>621.28</v>
      </c>
      <c r="H13" s="28">
        <v>487.52</v>
      </c>
      <c r="I13" s="28">
        <v>322.74</v>
      </c>
      <c r="J13" s="39">
        <f t="shared" si="2"/>
        <v>140.6543829593268</v>
      </c>
      <c r="K13" s="30">
        <f>(F13/$G$92)*Costs!$B$23</f>
        <v>229.71598741104353</v>
      </c>
      <c r="L13" s="30">
        <f t="shared" si="3"/>
        <v>370.37037037037032</v>
      </c>
      <c r="M13" s="30">
        <f t="shared" si="4"/>
        <v>29.629629629629626</v>
      </c>
      <c r="N13" s="39">
        <v>400</v>
      </c>
      <c r="O13" s="25">
        <f>Table1[[#This Row],[Total Selling Price / Unit (MVR)]]*Table1[[#This Row],[Qty 
(NOS)]]</f>
        <v>1600</v>
      </c>
      <c r="P13" s="64"/>
      <c r="Q13" s="7">
        <v>21.36</v>
      </c>
      <c r="R13" s="28">
        <f t="shared" si="5"/>
        <v>469.91999999999996</v>
      </c>
      <c r="S13" s="28">
        <v>487.52</v>
      </c>
      <c r="T13" s="7">
        <v>22.16</v>
      </c>
      <c r="U13" s="7">
        <v>7.06</v>
      </c>
      <c r="V13" s="69">
        <v>155.32</v>
      </c>
      <c r="W13" s="28">
        <v>322.74</v>
      </c>
      <c r="X13" s="28">
        <v>400</v>
      </c>
      <c r="Y13" s="25">
        <f t="shared" si="6"/>
        <v>341.7072</v>
      </c>
      <c r="Z13" s="25">
        <f t="shared" si="7"/>
        <v>369.04377600000004</v>
      </c>
      <c r="AA13" s="25">
        <f t="shared" si="8"/>
        <v>1476.1751040000001</v>
      </c>
      <c r="AB13" s="25">
        <f t="shared" si="9"/>
        <v>480.48719999999997</v>
      </c>
      <c r="AC13" s="25">
        <f t="shared" si="10"/>
        <v>518.92617600000005</v>
      </c>
      <c r="AD13" s="25">
        <f t="shared" si="11"/>
        <v>2075.7047040000002</v>
      </c>
      <c r="AE13" s="25">
        <f t="shared" si="12"/>
        <v>487.52</v>
      </c>
      <c r="AF13" s="25">
        <f t="shared" si="13"/>
        <v>526.52160000000003</v>
      </c>
      <c r="AG13" s="25">
        <f t="shared" si="14"/>
        <v>2106.0864000000001</v>
      </c>
      <c r="AH13" s="25">
        <f t="shared" si="15"/>
        <v>685.52</v>
      </c>
      <c r="AI13" s="25">
        <f t="shared" si="16"/>
        <v>740.36160000000007</v>
      </c>
      <c r="AJ13" s="25">
        <f t="shared" si="17"/>
        <v>2961.4464000000003</v>
      </c>
      <c r="AK13" s="22">
        <f>Table1[[#This Row],[Total Selling Price / Unit (MVR)]]/Table1[[#This Row],[CNF / Unit
(MVR)]]</f>
        <v>2.5753283543651815</v>
      </c>
      <c r="AL13" s="34">
        <f>Table1[[#This Row],[Total Selling Price / Unit (MVR)]]-(Table1[[#This Row],[GST 8%
(MVR)]]+Table1[[#This Row],[Weighted max
expense (MVR)]])</f>
        <v>140.65438295932682</v>
      </c>
      <c r="AM13" s="35">
        <f>Table1[[#This Row],[Profit / Unit (MVR)]]*Table1[[#This Row],[Qty 
(NOS)]]</f>
        <v>562.6175318373073</v>
      </c>
      <c r="AN13"/>
      <c r="AO13"/>
    </row>
    <row r="14" spans="1:42" x14ac:dyDescent="0.25">
      <c r="A14" t="s">
        <v>28</v>
      </c>
      <c r="B14" s="12" t="s">
        <v>116</v>
      </c>
      <c r="C14" s="4">
        <v>8</v>
      </c>
      <c r="D14" s="7">
        <v>6.84</v>
      </c>
      <c r="E14" s="28">
        <v>54.72</v>
      </c>
      <c r="F14" s="28">
        <f t="shared" si="0"/>
        <v>150.47999999999999</v>
      </c>
      <c r="G14" s="4">
        <f t="shared" si="1"/>
        <v>1203.8399999999999</v>
      </c>
      <c r="H14" s="28" t="s">
        <v>114</v>
      </c>
      <c r="I14" s="28">
        <v>403.04</v>
      </c>
      <c r="J14" s="40">
        <f t="shared" si="2"/>
        <v>180.22007892628517</v>
      </c>
      <c r="K14" s="31">
        <f>(F14/$G$92)*Costs!$B$23</f>
        <v>222.5576988514926</v>
      </c>
      <c r="L14" s="31">
        <f t="shared" si="3"/>
        <v>402.77777777777777</v>
      </c>
      <c r="M14" s="31">
        <f t="shared" si="4"/>
        <v>32.222222222222221</v>
      </c>
      <c r="N14" s="40">
        <v>435</v>
      </c>
      <c r="O14" s="25">
        <f>Table1[[#This Row],[Total Selling Price / Unit (MVR)]]*Table1[[#This Row],[Qty 
(NOS)]]</f>
        <v>3480</v>
      </c>
      <c r="P14" s="64"/>
      <c r="Q14" s="7">
        <v>21.36</v>
      </c>
      <c r="R14" s="28">
        <f t="shared" si="5"/>
        <v>469.91999999999996</v>
      </c>
      <c r="S14" s="28" t="s">
        <v>114</v>
      </c>
      <c r="T14" s="61">
        <v>22.16</v>
      </c>
      <c r="U14" s="7">
        <v>6.84</v>
      </c>
      <c r="V14" s="70">
        <v>150.47999999999999</v>
      </c>
      <c r="W14" s="28">
        <v>403.04</v>
      </c>
      <c r="X14" s="28">
        <v>435</v>
      </c>
      <c r="Y14" s="25">
        <f t="shared" si="6"/>
        <v>341.7072</v>
      </c>
      <c r="Z14" s="25">
        <f t="shared" si="7"/>
        <v>369.04377600000004</v>
      </c>
      <c r="AA14" s="25">
        <f t="shared" si="8"/>
        <v>2952.3502080000003</v>
      </c>
      <c r="AB14" s="25">
        <f t="shared" si="9"/>
        <v>480.48719999999997</v>
      </c>
      <c r="AC14" s="25">
        <f t="shared" si="10"/>
        <v>518.92617600000005</v>
      </c>
      <c r="AD14" s="25">
        <f t="shared" si="11"/>
        <v>4151.4094080000004</v>
      </c>
      <c r="AE14" s="25">
        <f t="shared" si="12"/>
        <v>487.52</v>
      </c>
      <c r="AF14" s="25">
        <f t="shared" si="13"/>
        <v>526.52160000000003</v>
      </c>
      <c r="AG14" s="25">
        <f t="shared" si="14"/>
        <v>4212.1728000000003</v>
      </c>
      <c r="AH14" s="25">
        <f t="shared" si="15"/>
        <v>685.52</v>
      </c>
      <c r="AI14" s="25">
        <f t="shared" si="16"/>
        <v>740.36160000000007</v>
      </c>
      <c r="AJ14" s="25">
        <f t="shared" si="17"/>
        <v>5922.8928000000005</v>
      </c>
      <c r="AK14" s="22">
        <f>Table1[[#This Row],[Total Selling Price / Unit (MVR)]]/Table1[[#This Row],[CNF / Unit
(MVR)]]</f>
        <v>2.8907496012759171</v>
      </c>
      <c r="AL14" s="36">
        <f>Table1[[#This Row],[Total Selling Price / Unit (MVR)]]-(Table1[[#This Row],[GST 8%
(MVR)]]+Table1[[#This Row],[Weighted max
expense (MVR)]])</f>
        <v>180.22007892628517</v>
      </c>
      <c r="AM14" s="37">
        <f>Table1[[#This Row],[Profit / Unit (MVR)]]*Table1[[#This Row],[Qty 
(NOS)]]</f>
        <v>1441.7606314102813</v>
      </c>
      <c r="AN14"/>
      <c r="AO14"/>
    </row>
    <row r="15" spans="1:42" x14ac:dyDescent="0.25">
      <c r="A15" t="s">
        <v>27</v>
      </c>
      <c r="B15" s="12" t="s">
        <v>116</v>
      </c>
      <c r="C15" s="4">
        <v>6</v>
      </c>
      <c r="D15" s="7">
        <v>6.84</v>
      </c>
      <c r="E15" s="28">
        <v>41.04</v>
      </c>
      <c r="F15" s="28">
        <f t="shared" si="0"/>
        <v>150.47999999999999</v>
      </c>
      <c r="G15" s="4">
        <f t="shared" si="1"/>
        <v>902.87999999999988</v>
      </c>
      <c r="H15" s="28" t="s">
        <v>114</v>
      </c>
      <c r="I15" s="28">
        <v>403.04</v>
      </c>
      <c r="J15" s="39">
        <f t="shared" si="2"/>
        <v>180.22007892628517</v>
      </c>
      <c r="K15" s="30">
        <f>(F15/$G$92)*Costs!$B$23</f>
        <v>222.5576988514926</v>
      </c>
      <c r="L15" s="30">
        <f t="shared" si="3"/>
        <v>402.77777777777777</v>
      </c>
      <c r="M15" s="30">
        <f t="shared" si="4"/>
        <v>32.222222222222221</v>
      </c>
      <c r="N15" s="39">
        <v>435</v>
      </c>
      <c r="O15" s="25">
        <f>Table1[[#This Row],[Total Selling Price / Unit (MVR)]]*Table1[[#This Row],[Qty 
(NOS)]]</f>
        <v>2610</v>
      </c>
      <c r="P15" s="64"/>
      <c r="Q15" s="7">
        <v>21.36</v>
      </c>
      <c r="R15" s="28">
        <f t="shared" si="5"/>
        <v>469.91999999999996</v>
      </c>
      <c r="S15" s="28" t="s">
        <v>114</v>
      </c>
      <c r="T15" s="61">
        <v>22.16</v>
      </c>
      <c r="U15" s="7">
        <v>6.84</v>
      </c>
      <c r="V15" s="69">
        <v>150.47999999999999</v>
      </c>
      <c r="W15" s="28">
        <v>403.04</v>
      </c>
      <c r="X15" s="28">
        <v>435</v>
      </c>
      <c r="Y15" s="25">
        <f t="shared" si="6"/>
        <v>341.7072</v>
      </c>
      <c r="Z15" s="25">
        <f t="shared" si="7"/>
        <v>369.04377600000004</v>
      </c>
      <c r="AA15" s="25">
        <f t="shared" si="8"/>
        <v>2214.2626560000003</v>
      </c>
      <c r="AB15" s="25">
        <f t="shared" si="9"/>
        <v>480.48719999999997</v>
      </c>
      <c r="AC15" s="25">
        <f t="shared" si="10"/>
        <v>518.92617600000005</v>
      </c>
      <c r="AD15" s="25">
        <f t="shared" si="11"/>
        <v>3113.5570560000006</v>
      </c>
      <c r="AE15" s="25">
        <f t="shared" si="12"/>
        <v>487.52</v>
      </c>
      <c r="AF15" s="25">
        <f t="shared" si="13"/>
        <v>526.52160000000003</v>
      </c>
      <c r="AG15" s="25">
        <f t="shared" si="14"/>
        <v>3159.1296000000002</v>
      </c>
      <c r="AH15" s="25">
        <f t="shared" si="15"/>
        <v>685.52</v>
      </c>
      <c r="AI15" s="25">
        <f t="shared" si="16"/>
        <v>740.36160000000007</v>
      </c>
      <c r="AJ15" s="25">
        <f t="shared" si="17"/>
        <v>4442.1696000000002</v>
      </c>
      <c r="AK15" s="22">
        <f>Table1[[#This Row],[Total Selling Price / Unit (MVR)]]/Table1[[#This Row],[CNF / Unit
(MVR)]]</f>
        <v>2.8907496012759171</v>
      </c>
      <c r="AL15" s="34">
        <f>Table1[[#This Row],[Total Selling Price / Unit (MVR)]]-(Table1[[#This Row],[GST 8%
(MVR)]]+Table1[[#This Row],[Weighted max
expense (MVR)]])</f>
        <v>180.22007892628517</v>
      </c>
      <c r="AM15" s="35">
        <f>Table1[[#This Row],[Profit / Unit (MVR)]]*Table1[[#This Row],[Qty 
(NOS)]]</f>
        <v>1081.320473557711</v>
      </c>
      <c r="AN15"/>
      <c r="AO15"/>
    </row>
    <row r="16" spans="1:42" x14ac:dyDescent="0.25">
      <c r="A16" t="s">
        <v>92</v>
      </c>
      <c r="B16" s="12" t="s">
        <v>116</v>
      </c>
      <c r="C16" s="4">
        <v>4</v>
      </c>
      <c r="D16" s="7">
        <v>7.06</v>
      </c>
      <c r="E16" s="28">
        <v>28.24</v>
      </c>
      <c r="F16" s="28">
        <f t="shared" si="0"/>
        <v>155.32</v>
      </c>
      <c r="G16" s="4">
        <f t="shared" si="1"/>
        <v>621.28</v>
      </c>
      <c r="H16" s="28">
        <v>487.52</v>
      </c>
      <c r="I16" s="28">
        <v>322.74</v>
      </c>
      <c r="J16" s="40">
        <f t="shared" si="2"/>
        <v>140.6543829593268</v>
      </c>
      <c r="K16" s="31">
        <f>(F16/$G$92)*Costs!$B$23</f>
        <v>229.71598741104353</v>
      </c>
      <c r="L16" s="31">
        <f t="shared" si="3"/>
        <v>370.37037037037032</v>
      </c>
      <c r="M16" s="31">
        <f t="shared" si="4"/>
        <v>29.629629629629626</v>
      </c>
      <c r="N16" s="40">
        <v>400</v>
      </c>
      <c r="O16" s="25">
        <f>Table1[[#This Row],[Total Selling Price / Unit (MVR)]]*Table1[[#This Row],[Qty 
(NOS)]]</f>
        <v>1600</v>
      </c>
      <c r="P16" s="64"/>
      <c r="Q16" s="7">
        <v>21.36</v>
      </c>
      <c r="R16" s="28">
        <f t="shared" si="5"/>
        <v>469.91999999999996</v>
      </c>
      <c r="S16" s="28">
        <v>487.52</v>
      </c>
      <c r="T16" s="7">
        <v>22.16</v>
      </c>
      <c r="U16" s="7">
        <v>7.06</v>
      </c>
      <c r="V16" s="70">
        <v>155.32</v>
      </c>
      <c r="W16" s="28">
        <v>322.74</v>
      </c>
      <c r="X16" s="28">
        <v>400</v>
      </c>
      <c r="Y16" s="25">
        <f t="shared" si="6"/>
        <v>341.7072</v>
      </c>
      <c r="Z16" s="25">
        <f t="shared" si="7"/>
        <v>369.04377600000004</v>
      </c>
      <c r="AA16" s="25">
        <f t="shared" si="8"/>
        <v>1476.1751040000001</v>
      </c>
      <c r="AB16" s="25">
        <f t="shared" si="9"/>
        <v>480.48719999999997</v>
      </c>
      <c r="AC16" s="25">
        <f t="shared" si="10"/>
        <v>518.92617600000005</v>
      </c>
      <c r="AD16" s="25">
        <f t="shared" si="11"/>
        <v>2075.7047040000002</v>
      </c>
      <c r="AE16" s="25">
        <f t="shared" si="12"/>
        <v>487.52</v>
      </c>
      <c r="AF16" s="25">
        <f t="shared" si="13"/>
        <v>526.52160000000003</v>
      </c>
      <c r="AG16" s="25">
        <f t="shared" si="14"/>
        <v>2106.0864000000001</v>
      </c>
      <c r="AH16" s="25">
        <f t="shared" si="15"/>
        <v>685.52</v>
      </c>
      <c r="AI16" s="25">
        <f t="shared" si="16"/>
        <v>740.36160000000007</v>
      </c>
      <c r="AJ16" s="25">
        <f t="shared" si="17"/>
        <v>2961.4464000000003</v>
      </c>
      <c r="AK16" s="22">
        <f>Table1[[#This Row],[Total Selling Price / Unit (MVR)]]/Table1[[#This Row],[CNF / Unit
(MVR)]]</f>
        <v>2.5753283543651815</v>
      </c>
      <c r="AL16" s="36">
        <f>Table1[[#This Row],[Total Selling Price / Unit (MVR)]]-(Table1[[#This Row],[GST 8%
(MVR)]]+Table1[[#This Row],[Weighted max
expense (MVR)]])</f>
        <v>140.65438295932682</v>
      </c>
      <c r="AM16" s="37">
        <f>Table1[[#This Row],[Profit / Unit (MVR)]]*Table1[[#This Row],[Qty 
(NOS)]]</f>
        <v>562.6175318373073</v>
      </c>
      <c r="AN16"/>
      <c r="AO16"/>
    </row>
    <row r="17" spans="1:41" x14ac:dyDescent="0.25">
      <c r="A17" t="s">
        <v>95</v>
      </c>
      <c r="B17" s="12" t="s">
        <v>116</v>
      </c>
      <c r="C17" s="4">
        <v>4</v>
      </c>
      <c r="D17" s="7">
        <v>4.24</v>
      </c>
      <c r="E17" s="28">
        <v>16.96</v>
      </c>
      <c r="F17" s="28">
        <f t="shared" si="0"/>
        <v>93.28</v>
      </c>
      <c r="G17" s="4">
        <f t="shared" si="1"/>
        <v>373.12</v>
      </c>
      <c r="H17" s="28">
        <v>407.66</v>
      </c>
      <c r="I17" s="28">
        <v>162.35999999999999</v>
      </c>
      <c r="J17" s="39">
        <f t="shared" si="2"/>
        <v>186.11433092636523</v>
      </c>
      <c r="K17" s="30">
        <f>(F17/$G$92)*Costs!$B$23</f>
        <v>137.95974314770885</v>
      </c>
      <c r="L17" s="30">
        <f t="shared" si="3"/>
        <v>324.07407407407408</v>
      </c>
      <c r="M17" s="30">
        <f t="shared" si="4"/>
        <v>25.925925925925927</v>
      </c>
      <c r="N17" s="39">
        <v>350</v>
      </c>
      <c r="O17" s="25">
        <f>Table1[[#This Row],[Total Selling Price / Unit (MVR)]]*Table1[[#This Row],[Qty 
(NOS)]]</f>
        <v>1400</v>
      </c>
      <c r="P17" s="64"/>
      <c r="Q17" s="7">
        <v>17.86</v>
      </c>
      <c r="R17" s="28">
        <f t="shared" si="5"/>
        <v>392.91999999999996</v>
      </c>
      <c r="S17" s="28">
        <v>407.66</v>
      </c>
      <c r="T17" s="7">
        <v>18.53</v>
      </c>
      <c r="U17" s="7">
        <v>4.24</v>
      </c>
      <c r="V17" s="69">
        <v>93.28</v>
      </c>
      <c r="W17" s="28">
        <v>162.35999999999999</v>
      </c>
      <c r="X17" s="28">
        <v>350</v>
      </c>
      <c r="Y17" s="25">
        <f t="shared" si="6"/>
        <v>285.73259999999999</v>
      </c>
      <c r="Z17" s="25">
        <f t="shared" si="7"/>
        <v>308.59120799999999</v>
      </c>
      <c r="AA17" s="25">
        <f t="shared" si="8"/>
        <v>1234.364832</v>
      </c>
      <c r="AB17" s="25">
        <f t="shared" si="9"/>
        <v>424.51260000000002</v>
      </c>
      <c r="AC17" s="25">
        <f t="shared" si="10"/>
        <v>458.47360800000007</v>
      </c>
      <c r="AD17" s="25">
        <f t="shared" si="11"/>
        <v>1833.8944320000003</v>
      </c>
      <c r="AE17" s="25">
        <f t="shared" si="12"/>
        <v>407.66</v>
      </c>
      <c r="AF17" s="25">
        <f t="shared" si="13"/>
        <v>440.27280000000007</v>
      </c>
      <c r="AG17" s="25">
        <f t="shared" si="14"/>
        <v>1761.0912000000003</v>
      </c>
      <c r="AH17" s="25">
        <f t="shared" si="15"/>
        <v>605.66000000000008</v>
      </c>
      <c r="AI17" s="25">
        <f t="shared" si="16"/>
        <v>654.11280000000011</v>
      </c>
      <c r="AJ17" s="25">
        <f t="shared" si="17"/>
        <v>2616.4512000000004</v>
      </c>
      <c r="AK17" s="22">
        <f>Table1[[#This Row],[Total Selling Price / Unit (MVR)]]/Table1[[#This Row],[CNF / Unit
(MVR)]]</f>
        <v>3.7521440823327614</v>
      </c>
      <c r="AL17" s="34">
        <f>Table1[[#This Row],[Total Selling Price / Unit (MVR)]]-(Table1[[#This Row],[GST 8%
(MVR)]]+Table1[[#This Row],[Weighted max
expense (MVR)]])</f>
        <v>186.11433092636523</v>
      </c>
      <c r="AM17" s="35">
        <f>Table1[[#This Row],[Profit / Unit (MVR)]]*Table1[[#This Row],[Qty 
(NOS)]]</f>
        <v>744.45732370546091</v>
      </c>
      <c r="AN17"/>
      <c r="AO17"/>
    </row>
    <row r="18" spans="1:41" x14ac:dyDescent="0.25">
      <c r="A18" t="s">
        <v>94</v>
      </c>
      <c r="B18" s="12" t="s">
        <v>116</v>
      </c>
      <c r="C18" s="4">
        <v>4</v>
      </c>
      <c r="D18" s="7">
        <v>4.24</v>
      </c>
      <c r="E18" s="28">
        <v>16.96</v>
      </c>
      <c r="F18" s="28">
        <f t="shared" si="0"/>
        <v>93.28</v>
      </c>
      <c r="G18" s="4">
        <f t="shared" si="1"/>
        <v>373.12</v>
      </c>
      <c r="H18" s="28">
        <v>407.66</v>
      </c>
      <c r="I18" s="28">
        <v>162.35999999999999</v>
      </c>
      <c r="J18" s="40">
        <f t="shared" si="2"/>
        <v>186.11433092636523</v>
      </c>
      <c r="K18" s="31">
        <f>(F18/$G$92)*Costs!$B$23</f>
        <v>137.95974314770885</v>
      </c>
      <c r="L18" s="31">
        <f t="shared" si="3"/>
        <v>324.07407407407408</v>
      </c>
      <c r="M18" s="31">
        <f t="shared" si="4"/>
        <v>25.925925925925927</v>
      </c>
      <c r="N18" s="40">
        <v>350</v>
      </c>
      <c r="O18" s="25">
        <f>Table1[[#This Row],[Total Selling Price / Unit (MVR)]]*Table1[[#This Row],[Qty 
(NOS)]]</f>
        <v>1400</v>
      </c>
      <c r="P18" s="64"/>
      <c r="Q18" s="7">
        <v>17.86</v>
      </c>
      <c r="R18" s="28">
        <f t="shared" si="5"/>
        <v>392.91999999999996</v>
      </c>
      <c r="S18" s="28">
        <v>407.66</v>
      </c>
      <c r="T18" s="7">
        <v>18.53</v>
      </c>
      <c r="U18" s="7">
        <v>4.24</v>
      </c>
      <c r="V18" s="70">
        <v>93.28</v>
      </c>
      <c r="W18" s="28">
        <v>162.35999999999999</v>
      </c>
      <c r="X18" s="28">
        <v>350</v>
      </c>
      <c r="Y18" s="25">
        <f t="shared" si="6"/>
        <v>285.73259999999999</v>
      </c>
      <c r="Z18" s="25">
        <f t="shared" si="7"/>
        <v>308.59120799999999</v>
      </c>
      <c r="AA18" s="25">
        <f t="shared" si="8"/>
        <v>1234.364832</v>
      </c>
      <c r="AB18" s="25">
        <f t="shared" si="9"/>
        <v>424.51260000000002</v>
      </c>
      <c r="AC18" s="25">
        <f t="shared" si="10"/>
        <v>458.47360800000007</v>
      </c>
      <c r="AD18" s="25">
        <f t="shared" si="11"/>
        <v>1833.8944320000003</v>
      </c>
      <c r="AE18" s="25">
        <f t="shared" si="12"/>
        <v>407.66</v>
      </c>
      <c r="AF18" s="25">
        <f t="shared" si="13"/>
        <v>440.27280000000007</v>
      </c>
      <c r="AG18" s="25">
        <f t="shared" si="14"/>
        <v>1761.0912000000003</v>
      </c>
      <c r="AH18" s="25">
        <f t="shared" si="15"/>
        <v>605.66000000000008</v>
      </c>
      <c r="AI18" s="25">
        <f t="shared" si="16"/>
        <v>654.11280000000011</v>
      </c>
      <c r="AJ18" s="25">
        <f t="shared" si="17"/>
        <v>2616.4512000000004</v>
      </c>
      <c r="AK18" s="22">
        <f>Table1[[#This Row],[Total Selling Price / Unit (MVR)]]/Table1[[#This Row],[CNF / Unit
(MVR)]]</f>
        <v>3.7521440823327614</v>
      </c>
      <c r="AL18" s="36">
        <f>Table1[[#This Row],[Total Selling Price / Unit (MVR)]]-(Table1[[#This Row],[GST 8%
(MVR)]]+Table1[[#This Row],[Weighted max
expense (MVR)]])</f>
        <v>186.11433092636523</v>
      </c>
      <c r="AM18" s="37">
        <f>Table1[[#This Row],[Profit / Unit (MVR)]]*Table1[[#This Row],[Qty 
(NOS)]]</f>
        <v>744.45732370546091</v>
      </c>
      <c r="AN18"/>
      <c r="AO18"/>
    </row>
    <row r="19" spans="1:41" x14ac:dyDescent="0.25">
      <c r="A19" t="s">
        <v>47</v>
      </c>
      <c r="B19" s="12" t="s">
        <v>116</v>
      </c>
      <c r="C19" s="4">
        <v>4</v>
      </c>
      <c r="D19" s="7">
        <v>7.06</v>
      </c>
      <c r="E19" s="28">
        <v>28.24</v>
      </c>
      <c r="F19" s="28">
        <f t="shared" si="0"/>
        <v>155.32</v>
      </c>
      <c r="G19" s="4">
        <f t="shared" si="1"/>
        <v>621.28</v>
      </c>
      <c r="H19" s="28">
        <v>487.52</v>
      </c>
      <c r="I19" s="28">
        <v>322.74</v>
      </c>
      <c r="J19" s="39">
        <f t="shared" si="2"/>
        <v>140.6543829593268</v>
      </c>
      <c r="K19" s="30">
        <f>(F19/$G$92)*Costs!$B$23</f>
        <v>229.71598741104353</v>
      </c>
      <c r="L19" s="30">
        <f t="shared" si="3"/>
        <v>370.37037037037032</v>
      </c>
      <c r="M19" s="30">
        <f t="shared" si="4"/>
        <v>29.629629629629626</v>
      </c>
      <c r="N19" s="39">
        <v>400</v>
      </c>
      <c r="O19" s="25">
        <f>Table1[[#This Row],[Total Selling Price / Unit (MVR)]]*Table1[[#This Row],[Qty 
(NOS)]]</f>
        <v>1600</v>
      </c>
      <c r="P19" s="64"/>
      <c r="Q19" s="7">
        <v>21.36</v>
      </c>
      <c r="R19" s="28">
        <f t="shared" si="5"/>
        <v>469.91999999999996</v>
      </c>
      <c r="S19" s="28">
        <v>487.52</v>
      </c>
      <c r="T19" s="7">
        <v>22.16</v>
      </c>
      <c r="U19" s="7">
        <v>7.06</v>
      </c>
      <c r="V19" s="69">
        <v>155.32</v>
      </c>
      <c r="W19" s="28">
        <v>322.74</v>
      </c>
      <c r="X19" s="28">
        <v>400</v>
      </c>
      <c r="Y19" s="25">
        <f t="shared" si="6"/>
        <v>341.7072</v>
      </c>
      <c r="Z19" s="25">
        <f t="shared" si="7"/>
        <v>369.04377600000004</v>
      </c>
      <c r="AA19" s="25">
        <f t="shared" si="8"/>
        <v>1476.1751040000001</v>
      </c>
      <c r="AB19" s="25">
        <f t="shared" si="9"/>
        <v>480.48719999999997</v>
      </c>
      <c r="AC19" s="25">
        <f t="shared" si="10"/>
        <v>518.92617600000005</v>
      </c>
      <c r="AD19" s="25">
        <f t="shared" si="11"/>
        <v>2075.7047040000002</v>
      </c>
      <c r="AE19" s="25">
        <f t="shared" si="12"/>
        <v>487.52</v>
      </c>
      <c r="AF19" s="25">
        <f t="shared" si="13"/>
        <v>526.52160000000003</v>
      </c>
      <c r="AG19" s="25">
        <f t="shared" si="14"/>
        <v>2106.0864000000001</v>
      </c>
      <c r="AH19" s="25">
        <f t="shared" si="15"/>
        <v>685.52</v>
      </c>
      <c r="AI19" s="25">
        <f t="shared" si="16"/>
        <v>740.36160000000007</v>
      </c>
      <c r="AJ19" s="25">
        <f t="shared" si="17"/>
        <v>2961.4464000000003</v>
      </c>
      <c r="AK19" s="22">
        <f>Table1[[#This Row],[Total Selling Price / Unit (MVR)]]/Table1[[#This Row],[CNF / Unit
(MVR)]]</f>
        <v>2.5753283543651815</v>
      </c>
      <c r="AL19" s="34">
        <f>Table1[[#This Row],[Total Selling Price / Unit (MVR)]]-(Table1[[#This Row],[GST 8%
(MVR)]]+Table1[[#This Row],[Weighted max
expense (MVR)]])</f>
        <v>140.65438295932682</v>
      </c>
      <c r="AM19" s="35">
        <f>Table1[[#This Row],[Profit / Unit (MVR)]]*Table1[[#This Row],[Qty 
(NOS)]]</f>
        <v>562.6175318373073</v>
      </c>
      <c r="AN19"/>
      <c r="AO19"/>
    </row>
    <row r="20" spans="1:41" x14ac:dyDescent="0.25">
      <c r="A20" t="s">
        <v>68</v>
      </c>
      <c r="B20" s="13" t="s">
        <v>117</v>
      </c>
      <c r="C20" s="4">
        <v>4</v>
      </c>
      <c r="D20" s="7">
        <v>4.57</v>
      </c>
      <c r="E20" s="28">
        <v>18.28</v>
      </c>
      <c r="F20" s="28">
        <f t="shared" si="0"/>
        <v>100.54</v>
      </c>
      <c r="G20" s="4">
        <f t="shared" si="1"/>
        <v>402.16</v>
      </c>
      <c r="H20" s="28">
        <v>407.66</v>
      </c>
      <c r="I20" s="28">
        <v>275</v>
      </c>
      <c r="J20" s="40">
        <f t="shared" si="2"/>
        <v>156.85837956852029</v>
      </c>
      <c r="K20" s="31">
        <f>(F20/$G$92)*Costs!$B$23</f>
        <v>148.69717598703525</v>
      </c>
      <c r="L20" s="31">
        <f t="shared" si="3"/>
        <v>305.55555555555554</v>
      </c>
      <c r="M20" s="31">
        <f t="shared" si="4"/>
        <v>24.444444444444443</v>
      </c>
      <c r="N20" s="40">
        <v>330</v>
      </c>
      <c r="O20" s="25">
        <f>Table1[[#This Row],[Total Selling Price / Unit (MVR)]]*Table1[[#This Row],[Qty 
(NOS)]]</f>
        <v>1320</v>
      </c>
      <c r="P20" s="64"/>
      <c r="Q20" s="7">
        <v>7.14</v>
      </c>
      <c r="R20" s="28">
        <f t="shared" si="5"/>
        <v>157.07999999999998</v>
      </c>
      <c r="S20" s="28">
        <v>407.66</v>
      </c>
      <c r="T20" s="7">
        <v>18.53</v>
      </c>
      <c r="U20" s="7">
        <v>4.57</v>
      </c>
      <c r="V20" s="70">
        <v>100.54</v>
      </c>
      <c r="W20" s="28">
        <v>275</v>
      </c>
      <c r="X20" s="28">
        <v>330</v>
      </c>
      <c r="Y20" s="25">
        <f t="shared" si="6"/>
        <v>285.73259999999999</v>
      </c>
      <c r="Z20" s="25">
        <f t="shared" si="7"/>
        <v>308.59120799999999</v>
      </c>
      <c r="AA20" s="25">
        <f t="shared" si="8"/>
        <v>1234.364832</v>
      </c>
      <c r="AB20" s="25">
        <f t="shared" si="9"/>
        <v>424.51260000000002</v>
      </c>
      <c r="AC20" s="25">
        <f t="shared" si="10"/>
        <v>458.47360800000007</v>
      </c>
      <c r="AD20" s="25">
        <f t="shared" si="11"/>
        <v>1833.8944320000003</v>
      </c>
      <c r="AE20" s="25">
        <f t="shared" si="12"/>
        <v>407.66</v>
      </c>
      <c r="AF20" s="25">
        <f t="shared" si="13"/>
        <v>440.27280000000007</v>
      </c>
      <c r="AG20" s="25">
        <f t="shared" si="14"/>
        <v>1761.0912000000003</v>
      </c>
      <c r="AH20" s="25">
        <f t="shared" si="15"/>
        <v>605.66000000000008</v>
      </c>
      <c r="AI20" s="25">
        <f t="shared" si="16"/>
        <v>654.11280000000011</v>
      </c>
      <c r="AJ20" s="25">
        <f t="shared" si="17"/>
        <v>2616.4512000000004</v>
      </c>
      <c r="AK20" s="22">
        <f>Table1[[#This Row],[Total Selling Price / Unit (MVR)]]/Table1[[#This Row],[CNF / Unit
(MVR)]]</f>
        <v>3.2822757111597372</v>
      </c>
      <c r="AL20" s="36">
        <f>Table1[[#This Row],[Total Selling Price / Unit (MVR)]]-(Table1[[#This Row],[GST 8%
(MVR)]]+Table1[[#This Row],[Weighted max
expense (MVR)]])</f>
        <v>156.85837956852032</v>
      </c>
      <c r="AM20" s="37">
        <f>Table1[[#This Row],[Profit / Unit (MVR)]]*Table1[[#This Row],[Qty 
(NOS)]]</f>
        <v>627.43351827408128</v>
      </c>
      <c r="AN20"/>
      <c r="AO20"/>
    </row>
    <row r="21" spans="1:41" x14ac:dyDescent="0.25">
      <c r="A21" t="s">
        <v>98</v>
      </c>
      <c r="B21" s="13" t="s">
        <v>117</v>
      </c>
      <c r="C21" s="4">
        <v>4</v>
      </c>
      <c r="D21" s="7">
        <v>4.66</v>
      </c>
      <c r="E21" s="28">
        <v>18.64</v>
      </c>
      <c r="F21" s="28">
        <f t="shared" si="0"/>
        <v>102.52000000000001</v>
      </c>
      <c r="G21" s="4">
        <f t="shared" si="1"/>
        <v>410.08000000000004</v>
      </c>
      <c r="H21" s="28">
        <v>211.86</v>
      </c>
      <c r="I21" s="28">
        <v>242.44</v>
      </c>
      <c r="J21" s="39">
        <f t="shared" si="2"/>
        <v>56.707766571936304</v>
      </c>
      <c r="K21" s="30">
        <f>(F21/$G$92)*Costs!$B$23</f>
        <v>151.62556676139701</v>
      </c>
      <c r="L21" s="30">
        <f t="shared" si="3"/>
        <v>208.33333333333331</v>
      </c>
      <c r="M21" s="30">
        <f t="shared" si="4"/>
        <v>16.666666666666664</v>
      </c>
      <c r="N21" s="39">
        <v>225</v>
      </c>
      <c r="O21" s="25">
        <f>Table1[[#This Row],[Total Selling Price / Unit (MVR)]]*Table1[[#This Row],[Qty 
(NOS)]]</f>
        <v>900</v>
      </c>
      <c r="P21" s="64"/>
      <c r="Q21" s="7">
        <v>17.86</v>
      </c>
      <c r="R21" s="28">
        <f t="shared" si="5"/>
        <v>392.91999999999996</v>
      </c>
      <c r="S21" s="28">
        <v>211.86</v>
      </c>
      <c r="T21" s="7">
        <v>9.6300000000000008</v>
      </c>
      <c r="U21" s="7">
        <v>4.66</v>
      </c>
      <c r="V21" s="69">
        <v>102.52000000000001</v>
      </c>
      <c r="W21" s="28">
        <v>242.44</v>
      </c>
      <c r="X21" s="28">
        <v>225</v>
      </c>
      <c r="Y21" s="25">
        <f t="shared" si="6"/>
        <v>148.49460000000002</v>
      </c>
      <c r="Z21" s="25">
        <f t="shared" si="7"/>
        <v>160.37416800000003</v>
      </c>
      <c r="AA21" s="25">
        <f t="shared" si="8"/>
        <v>641.4966720000001</v>
      </c>
      <c r="AB21" s="25">
        <f t="shared" si="9"/>
        <v>287.27460000000002</v>
      </c>
      <c r="AC21" s="25">
        <f t="shared" si="10"/>
        <v>310.25656800000002</v>
      </c>
      <c r="AD21" s="25">
        <f t="shared" si="11"/>
        <v>1241.0262720000001</v>
      </c>
      <c r="AE21" s="25">
        <f t="shared" si="12"/>
        <v>211.86</v>
      </c>
      <c r="AF21" s="25">
        <f t="shared" si="13"/>
        <v>228.80880000000002</v>
      </c>
      <c r="AG21" s="25">
        <f t="shared" si="14"/>
        <v>915.23520000000008</v>
      </c>
      <c r="AH21" s="25">
        <f t="shared" si="15"/>
        <v>409.86000000000007</v>
      </c>
      <c r="AI21" s="25">
        <f t="shared" si="16"/>
        <v>442.64880000000011</v>
      </c>
      <c r="AJ21" s="25">
        <f t="shared" si="17"/>
        <v>1770.5952000000004</v>
      </c>
      <c r="AK21" s="22">
        <f>Table1[[#This Row],[Total Selling Price / Unit (MVR)]]/Table1[[#This Row],[CNF / Unit
(MVR)]]</f>
        <v>2.1946937182988684</v>
      </c>
      <c r="AL21" s="34">
        <f>Table1[[#This Row],[Total Selling Price / Unit (MVR)]]-(Table1[[#This Row],[GST 8%
(MVR)]]+Table1[[#This Row],[Weighted max
expense (MVR)]])</f>
        <v>56.707766571936332</v>
      </c>
      <c r="AM21" s="35">
        <f>Table1[[#This Row],[Profit / Unit (MVR)]]*Table1[[#This Row],[Qty 
(NOS)]]</f>
        <v>226.83106628774533</v>
      </c>
      <c r="AN21"/>
      <c r="AO21"/>
    </row>
    <row r="22" spans="1:41" x14ac:dyDescent="0.25">
      <c r="A22" t="s">
        <v>30</v>
      </c>
      <c r="B22" s="13" t="s">
        <v>117</v>
      </c>
      <c r="C22" s="4">
        <v>7</v>
      </c>
      <c r="D22" s="7">
        <v>4.66</v>
      </c>
      <c r="E22" s="28">
        <v>32.620000000000005</v>
      </c>
      <c r="F22" s="28">
        <f t="shared" si="0"/>
        <v>102.52000000000001</v>
      </c>
      <c r="G22" s="4">
        <f t="shared" si="1"/>
        <v>717.6400000000001</v>
      </c>
      <c r="H22" s="28">
        <v>211.86</v>
      </c>
      <c r="I22" s="28">
        <v>242.44</v>
      </c>
      <c r="J22" s="40">
        <f t="shared" si="2"/>
        <v>56.707766571936304</v>
      </c>
      <c r="K22" s="31">
        <f>(F22/$G$92)*Costs!$B$23</f>
        <v>151.62556676139701</v>
      </c>
      <c r="L22" s="31">
        <f t="shared" si="3"/>
        <v>208.33333333333331</v>
      </c>
      <c r="M22" s="31">
        <f t="shared" si="4"/>
        <v>16.666666666666664</v>
      </c>
      <c r="N22" s="40">
        <v>225</v>
      </c>
      <c r="O22" s="25">
        <f>Table1[[#This Row],[Total Selling Price / Unit (MVR)]]*Table1[[#This Row],[Qty 
(NOS)]]</f>
        <v>1575</v>
      </c>
      <c r="P22" s="64"/>
      <c r="Q22" s="7">
        <v>17.86</v>
      </c>
      <c r="R22" s="28">
        <f t="shared" si="5"/>
        <v>392.91999999999996</v>
      </c>
      <c r="S22" s="28">
        <v>211.86</v>
      </c>
      <c r="T22" s="7">
        <v>9.6300000000000008</v>
      </c>
      <c r="U22" s="7">
        <v>4.66</v>
      </c>
      <c r="V22" s="70">
        <v>102.52000000000001</v>
      </c>
      <c r="W22" s="28">
        <v>242.44</v>
      </c>
      <c r="X22" s="28">
        <v>225</v>
      </c>
      <c r="Y22" s="25">
        <f t="shared" si="6"/>
        <v>148.49460000000002</v>
      </c>
      <c r="Z22" s="25">
        <f t="shared" si="7"/>
        <v>160.37416800000003</v>
      </c>
      <c r="AA22" s="25">
        <f t="shared" si="8"/>
        <v>1122.6191760000002</v>
      </c>
      <c r="AB22" s="25">
        <f t="shared" si="9"/>
        <v>287.27460000000002</v>
      </c>
      <c r="AC22" s="25">
        <f t="shared" si="10"/>
        <v>310.25656800000002</v>
      </c>
      <c r="AD22" s="25">
        <f t="shared" si="11"/>
        <v>2171.7959760000003</v>
      </c>
      <c r="AE22" s="25">
        <f t="shared" si="12"/>
        <v>211.86</v>
      </c>
      <c r="AF22" s="25">
        <f t="shared" si="13"/>
        <v>228.80880000000002</v>
      </c>
      <c r="AG22" s="25">
        <f t="shared" si="14"/>
        <v>1601.6616000000001</v>
      </c>
      <c r="AH22" s="25">
        <f t="shared" si="15"/>
        <v>409.86000000000007</v>
      </c>
      <c r="AI22" s="25">
        <f t="shared" si="16"/>
        <v>442.64880000000011</v>
      </c>
      <c r="AJ22" s="25">
        <f t="shared" si="17"/>
        <v>3098.5416000000009</v>
      </c>
      <c r="AK22" s="22">
        <f>Table1[[#This Row],[Total Selling Price / Unit (MVR)]]/Table1[[#This Row],[CNF / Unit
(MVR)]]</f>
        <v>2.1946937182988684</v>
      </c>
      <c r="AL22" s="36">
        <f>Table1[[#This Row],[Total Selling Price / Unit (MVR)]]-(Table1[[#This Row],[GST 8%
(MVR)]]+Table1[[#This Row],[Weighted max
expense (MVR)]])</f>
        <v>56.707766571936332</v>
      </c>
      <c r="AM22" s="37">
        <f>Table1[[#This Row],[Profit / Unit (MVR)]]*Table1[[#This Row],[Qty 
(NOS)]]</f>
        <v>396.95436600355436</v>
      </c>
      <c r="AN22"/>
      <c r="AO22"/>
    </row>
    <row r="23" spans="1:41" x14ac:dyDescent="0.25">
      <c r="A23" t="s">
        <v>99</v>
      </c>
      <c r="B23" s="13" t="s">
        <v>117</v>
      </c>
      <c r="C23" s="4">
        <v>4</v>
      </c>
      <c r="D23" s="7">
        <v>4.66</v>
      </c>
      <c r="E23" s="28">
        <v>18.64</v>
      </c>
      <c r="F23" s="28">
        <f t="shared" si="0"/>
        <v>102.52000000000001</v>
      </c>
      <c r="G23" s="4">
        <f t="shared" si="1"/>
        <v>410.08000000000004</v>
      </c>
      <c r="H23" s="28">
        <v>211.86</v>
      </c>
      <c r="I23" s="28">
        <v>242.44</v>
      </c>
      <c r="J23" s="39">
        <f t="shared" si="2"/>
        <v>56.707766571936304</v>
      </c>
      <c r="K23" s="30">
        <f>(F23/$G$92)*Costs!$B$23</f>
        <v>151.62556676139701</v>
      </c>
      <c r="L23" s="30">
        <f t="shared" si="3"/>
        <v>208.33333333333331</v>
      </c>
      <c r="M23" s="30">
        <f t="shared" si="4"/>
        <v>16.666666666666664</v>
      </c>
      <c r="N23" s="39">
        <v>225</v>
      </c>
      <c r="O23" s="25">
        <f>Table1[[#This Row],[Total Selling Price / Unit (MVR)]]*Table1[[#This Row],[Qty 
(NOS)]]</f>
        <v>900</v>
      </c>
      <c r="P23" s="64"/>
      <c r="Q23" s="7">
        <v>17.86</v>
      </c>
      <c r="R23" s="28">
        <f t="shared" si="5"/>
        <v>392.91999999999996</v>
      </c>
      <c r="S23" s="28">
        <v>211.86</v>
      </c>
      <c r="T23" s="7">
        <v>9.6300000000000008</v>
      </c>
      <c r="U23" s="7">
        <v>4.66</v>
      </c>
      <c r="V23" s="69">
        <v>102.52000000000001</v>
      </c>
      <c r="W23" s="28">
        <v>242.44</v>
      </c>
      <c r="X23" s="28">
        <v>225</v>
      </c>
      <c r="Y23" s="25">
        <f t="shared" si="6"/>
        <v>148.49460000000002</v>
      </c>
      <c r="Z23" s="25">
        <f t="shared" si="7"/>
        <v>160.37416800000003</v>
      </c>
      <c r="AA23" s="25">
        <f t="shared" si="8"/>
        <v>641.4966720000001</v>
      </c>
      <c r="AB23" s="25">
        <f t="shared" si="9"/>
        <v>287.27460000000002</v>
      </c>
      <c r="AC23" s="25">
        <f t="shared" si="10"/>
        <v>310.25656800000002</v>
      </c>
      <c r="AD23" s="25">
        <f t="shared" si="11"/>
        <v>1241.0262720000001</v>
      </c>
      <c r="AE23" s="25">
        <f t="shared" si="12"/>
        <v>211.86</v>
      </c>
      <c r="AF23" s="25">
        <f t="shared" si="13"/>
        <v>228.80880000000002</v>
      </c>
      <c r="AG23" s="25">
        <f t="shared" si="14"/>
        <v>915.23520000000008</v>
      </c>
      <c r="AH23" s="25">
        <f t="shared" si="15"/>
        <v>409.86000000000007</v>
      </c>
      <c r="AI23" s="25">
        <f t="shared" si="16"/>
        <v>442.64880000000011</v>
      </c>
      <c r="AJ23" s="25">
        <f t="shared" si="17"/>
        <v>1770.5952000000004</v>
      </c>
      <c r="AK23" s="22">
        <f>Table1[[#This Row],[Total Selling Price / Unit (MVR)]]/Table1[[#This Row],[CNF / Unit
(MVR)]]</f>
        <v>2.1946937182988684</v>
      </c>
      <c r="AL23" s="34">
        <f>Table1[[#This Row],[Total Selling Price / Unit (MVR)]]-(Table1[[#This Row],[GST 8%
(MVR)]]+Table1[[#This Row],[Weighted max
expense (MVR)]])</f>
        <v>56.707766571936332</v>
      </c>
      <c r="AM23" s="35">
        <f>Table1[[#This Row],[Profit / Unit (MVR)]]*Table1[[#This Row],[Qty 
(NOS)]]</f>
        <v>226.83106628774533</v>
      </c>
      <c r="AN23"/>
      <c r="AO23"/>
    </row>
    <row r="24" spans="1:41" x14ac:dyDescent="0.25">
      <c r="A24" t="s">
        <v>69</v>
      </c>
      <c r="B24" s="13" t="s">
        <v>117</v>
      </c>
      <c r="C24" s="4">
        <v>4</v>
      </c>
      <c r="D24" s="7">
        <v>4.66</v>
      </c>
      <c r="E24" s="28">
        <v>18.64</v>
      </c>
      <c r="F24" s="28">
        <f t="shared" si="0"/>
        <v>102.52000000000001</v>
      </c>
      <c r="G24" s="4">
        <f t="shared" si="1"/>
        <v>410.08000000000004</v>
      </c>
      <c r="H24" s="28">
        <v>211.86</v>
      </c>
      <c r="I24" s="28">
        <v>242.44</v>
      </c>
      <c r="J24" s="40">
        <f t="shared" si="2"/>
        <v>56.707766571936304</v>
      </c>
      <c r="K24" s="31">
        <f>(F24/$G$92)*Costs!$B$23</f>
        <v>151.62556676139701</v>
      </c>
      <c r="L24" s="31">
        <f t="shared" si="3"/>
        <v>208.33333333333331</v>
      </c>
      <c r="M24" s="31">
        <f t="shared" si="4"/>
        <v>16.666666666666664</v>
      </c>
      <c r="N24" s="40">
        <v>225</v>
      </c>
      <c r="O24" s="25">
        <f>Table1[[#This Row],[Total Selling Price / Unit (MVR)]]*Table1[[#This Row],[Qty 
(NOS)]]</f>
        <v>900</v>
      </c>
      <c r="P24" s="64"/>
      <c r="Q24" s="7">
        <v>17.86</v>
      </c>
      <c r="R24" s="28">
        <f t="shared" si="5"/>
        <v>392.91999999999996</v>
      </c>
      <c r="S24" s="28">
        <v>211.86</v>
      </c>
      <c r="T24" s="7">
        <v>9.6300000000000008</v>
      </c>
      <c r="U24" s="7">
        <v>4.66</v>
      </c>
      <c r="V24" s="70">
        <v>102.52000000000001</v>
      </c>
      <c r="W24" s="28">
        <v>242.44</v>
      </c>
      <c r="X24" s="28">
        <v>225</v>
      </c>
      <c r="Y24" s="25">
        <f t="shared" si="6"/>
        <v>148.49460000000002</v>
      </c>
      <c r="Z24" s="25">
        <f t="shared" si="7"/>
        <v>160.37416800000003</v>
      </c>
      <c r="AA24" s="25">
        <f t="shared" si="8"/>
        <v>641.4966720000001</v>
      </c>
      <c r="AB24" s="25">
        <f t="shared" si="9"/>
        <v>287.27460000000002</v>
      </c>
      <c r="AC24" s="25">
        <f t="shared" si="10"/>
        <v>310.25656800000002</v>
      </c>
      <c r="AD24" s="25">
        <f t="shared" si="11"/>
        <v>1241.0262720000001</v>
      </c>
      <c r="AE24" s="25">
        <f t="shared" si="12"/>
        <v>211.86</v>
      </c>
      <c r="AF24" s="25">
        <f t="shared" si="13"/>
        <v>228.80880000000002</v>
      </c>
      <c r="AG24" s="25">
        <f t="shared" si="14"/>
        <v>915.23520000000008</v>
      </c>
      <c r="AH24" s="25">
        <f t="shared" si="15"/>
        <v>409.86000000000007</v>
      </c>
      <c r="AI24" s="25">
        <f t="shared" si="16"/>
        <v>442.64880000000011</v>
      </c>
      <c r="AJ24" s="25">
        <f t="shared" si="17"/>
        <v>1770.5952000000004</v>
      </c>
      <c r="AK24" s="22">
        <f>Table1[[#This Row],[Total Selling Price / Unit (MVR)]]/Table1[[#This Row],[CNF / Unit
(MVR)]]</f>
        <v>2.1946937182988684</v>
      </c>
      <c r="AL24" s="36">
        <f>Table1[[#This Row],[Total Selling Price / Unit (MVR)]]-(Table1[[#This Row],[GST 8%
(MVR)]]+Table1[[#This Row],[Weighted max
expense (MVR)]])</f>
        <v>56.707766571936332</v>
      </c>
      <c r="AM24" s="37">
        <f>Table1[[#This Row],[Profit / Unit (MVR)]]*Table1[[#This Row],[Qty 
(NOS)]]</f>
        <v>226.83106628774533</v>
      </c>
      <c r="AN24"/>
      <c r="AO24"/>
    </row>
    <row r="25" spans="1:41" x14ac:dyDescent="0.25">
      <c r="A25" t="s">
        <v>112</v>
      </c>
      <c r="B25" s="13" t="s">
        <v>117</v>
      </c>
      <c r="C25" s="4">
        <v>3</v>
      </c>
      <c r="D25" s="7">
        <v>4.82</v>
      </c>
      <c r="E25" s="28">
        <v>14.46</v>
      </c>
      <c r="F25" s="28">
        <f t="shared" si="0"/>
        <v>106.04</v>
      </c>
      <c r="G25" s="4">
        <f t="shared" si="1"/>
        <v>318.12</v>
      </c>
      <c r="H25" s="28">
        <v>407.66</v>
      </c>
      <c r="I25" s="28">
        <v>272.8</v>
      </c>
      <c r="J25" s="39">
        <f t="shared" si="2"/>
        <v>167.24247926936727</v>
      </c>
      <c r="K25" s="30">
        <f>(F25/$G$92)*Costs!$B$23</f>
        <v>156.83159480470681</v>
      </c>
      <c r="L25" s="30">
        <f t="shared" si="3"/>
        <v>324.07407407407408</v>
      </c>
      <c r="M25" s="30">
        <f t="shared" si="4"/>
        <v>25.925925925925927</v>
      </c>
      <c r="N25" s="39">
        <v>350</v>
      </c>
      <c r="O25" s="25">
        <f>Table1[[#This Row],[Total Selling Price / Unit (MVR)]]*Table1[[#This Row],[Qty 
(NOS)]]</f>
        <v>1050</v>
      </c>
      <c r="P25" s="64"/>
      <c r="Q25" s="7">
        <v>17.86</v>
      </c>
      <c r="R25" s="28">
        <f t="shared" si="5"/>
        <v>392.91999999999996</v>
      </c>
      <c r="S25" s="28">
        <v>407.66</v>
      </c>
      <c r="T25" s="7">
        <v>18.53</v>
      </c>
      <c r="U25" s="7">
        <v>4.82</v>
      </c>
      <c r="V25" s="69">
        <v>106.04</v>
      </c>
      <c r="W25" s="28">
        <v>272.8</v>
      </c>
      <c r="X25" s="28">
        <v>350</v>
      </c>
      <c r="Y25" s="25">
        <f t="shared" si="6"/>
        <v>285.73259999999999</v>
      </c>
      <c r="Z25" s="25">
        <f t="shared" si="7"/>
        <v>308.59120799999999</v>
      </c>
      <c r="AA25" s="25">
        <f t="shared" si="8"/>
        <v>925.77362399999993</v>
      </c>
      <c r="AB25" s="25">
        <f t="shared" si="9"/>
        <v>424.51260000000002</v>
      </c>
      <c r="AC25" s="25">
        <f t="shared" si="10"/>
        <v>458.47360800000007</v>
      </c>
      <c r="AD25" s="25">
        <f t="shared" si="11"/>
        <v>1375.4208240000003</v>
      </c>
      <c r="AE25" s="25">
        <f t="shared" si="12"/>
        <v>407.66</v>
      </c>
      <c r="AF25" s="25">
        <f t="shared" si="13"/>
        <v>440.27280000000007</v>
      </c>
      <c r="AG25" s="25">
        <f t="shared" si="14"/>
        <v>1320.8184000000001</v>
      </c>
      <c r="AH25" s="25">
        <f t="shared" si="15"/>
        <v>605.66000000000008</v>
      </c>
      <c r="AI25" s="25">
        <f t="shared" si="16"/>
        <v>654.11280000000011</v>
      </c>
      <c r="AJ25" s="25">
        <f t="shared" si="17"/>
        <v>1962.3384000000003</v>
      </c>
      <c r="AK25" s="22">
        <f>Table1[[#This Row],[Total Selling Price / Unit (MVR)]]/Table1[[#This Row],[CNF / Unit
(MVR)]]</f>
        <v>3.3006412674462466</v>
      </c>
      <c r="AL25" s="34">
        <f>Table1[[#This Row],[Total Selling Price / Unit (MVR)]]-(Table1[[#This Row],[GST 8%
(MVR)]]+Table1[[#This Row],[Weighted max
expense (MVR)]])</f>
        <v>167.24247926936727</v>
      </c>
      <c r="AM25" s="35">
        <f>Table1[[#This Row],[Profit / Unit (MVR)]]*Table1[[#This Row],[Qty 
(NOS)]]</f>
        <v>501.7274378081018</v>
      </c>
      <c r="AN25"/>
      <c r="AO25"/>
    </row>
    <row r="26" spans="1:41" x14ac:dyDescent="0.25">
      <c r="A26" t="s">
        <v>101</v>
      </c>
      <c r="B26" s="13" t="s">
        <v>117</v>
      </c>
      <c r="C26" s="4">
        <v>4</v>
      </c>
      <c r="D26" s="7">
        <v>11</v>
      </c>
      <c r="E26" s="28">
        <v>44</v>
      </c>
      <c r="F26" s="28">
        <f t="shared" si="0"/>
        <v>242</v>
      </c>
      <c r="G26" s="4">
        <f t="shared" si="1"/>
        <v>968</v>
      </c>
      <c r="H26" s="28">
        <v>1613.92</v>
      </c>
      <c r="I26" s="28">
        <v>436.48</v>
      </c>
      <c r="J26" s="40">
        <f t="shared" si="2"/>
        <v>86.530016466897791</v>
      </c>
      <c r="K26" s="31">
        <f>(F26/$G$92)*Costs!$B$23</f>
        <v>357.91442797754661</v>
      </c>
      <c r="L26" s="31">
        <f t="shared" si="3"/>
        <v>444.4444444444444</v>
      </c>
      <c r="M26" s="31">
        <f t="shared" si="4"/>
        <v>35.55555555555555</v>
      </c>
      <c r="N26" s="40">
        <v>480</v>
      </c>
      <c r="O26" s="25">
        <f>Table1[[#This Row],[Total Selling Price / Unit (MVR)]]*Table1[[#This Row],[Qty 
(NOS)]]</f>
        <v>1920</v>
      </c>
      <c r="P26" s="64"/>
      <c r="Q26" s="7">
        <v>70.709999999999994</v>
      </c>
      <c r="R26" s="28">
        <f t="shared" si="5"/>
        <v>1555.62</v>
      </c>
      <c r="S26" s="28">
        <v>1613.92</v>
      </c>
      <c r="T26" s="7">
        <v>73.36</v>
      </c>
      <c r="U26" s="7">
        <v>11</v>
      </c>
      <c r="V26" s="70">
        <v>242</v>
      </c>
      <c r="W26" s="28">
        <v>436.48</v>
      </c>
      <c r="X26" s="28">
        <v>480</v>
      </c>
      <c r="Y26" s="25">
        <f t="shared" si="6"/>
        <v>1131.2112</v>
      </c>
      <c r="Z26" s="25">
        <f t="shared" si="7"/>
        <v>1221.7080960000001</v>
      </c>
      <c r="AA26" s="25">
        <f t="shared" si="8"/>
        <v>4886.8323840000003</v>
      </c>
      <c r="AB26" s="25">
        <f t="shared" si="9"/>
        <v>1269.9911999999999</v>
      </c>
      <c r="AC26" s="25">
        <f t="shared" si="10"/>
        <v>1371.590496</v>
      </c>
      <c r="AD26" s="25">
        <f t="shared" si="11"/>
        <v>5486.3619840000001</v>
      </c>
      <c r="AE26" s="25">
        <f t="shared" si="12"/>
        <v>1613.92</v>
      </c>
      <c r="AF26" s="25">
        <f t="shared" si="13"/>
        <v>1743.0336000000002</v>
      </c>
      <c r="AG26" s="25">
        <f t="shared" si="14"/>
        <v>6972.1344000000008</v>
      </c>
      <c r="AH26" s="25">
        <f t="shared" si="15"/>
        <v>1811.92</v>
      </c>
      <c r="AI26" s="25">
        <f t="shared" si="16"/>
        <v>1956.8736000000001</v>
      </c>
      <c r="AJ26" s="25">
        <f t="shared" si="17"/>
        <v>7827.4944000000005</v>
      </c>
      <c r="AK26" s="22">
        <f>Table1[[#This Row],[Total Selling Price / Unit (MVR)]]/Table1[[#This Row],[CNF / Unit
(MVR)]]</f>
        <v>1.9834710743801653</v>
      </c>
      <c r="AL26" s="36">
        <f>Table1[[#This Row],[Total Selling Price / Unit (MVR)]]-(Table1[[#This Row],[GST 8%
(MVR)]]+Table1[[#This Row],[Weighted max
expense (MVR)]])</f>
        <v>86.530016466897848</v>
      </c>
      <c r="AM26" s="37">
        <f>Table1[[#This Row],[Profit / Unit (MVR)]]*Table1[[#This Row],[Qty 
(NOS)]]</f>
        <v>346.12006586759139</v>
      </c>
      <c r="AN26"/>
      <c r="AO26"/>
    </row>
    <row r="27" spans="1:41" x14ac:dyDescent="0.25">
      <c r="A27" t="s">
        <v>102</v>
      </c>
      <c r="B27" s="13" t="s">
        <v>117</v>
      </c>
      <c r="C27" s="4">
        <v>4</v>
      </c>
      <c r="D27" s="7">
        <v>11</v>
      </c>
      <c r="E27" s="28">
        <v>44</v>
      </c>
      <c r="F27" s="28">
        <f t="shared" si="0"/>
        <v>242</v>
      </c>
      <c r="G27" s="4">
        <f t="shared" si="1"/>
        <v>968</v>
      </c>
      <c r="H27" s="28">
        <v>1613.92</v>
      </c>
      <c r="I27" s="28">
        <v>436.48</v>
      </c>
      <c r="J27" s="39">
        <f t="shared" si="2"/>
        <v>86.530016466897791</v>
      </c>
      <c r="K27" s="30">
        <f>(F27/$G$92)*Costs!$B$23</f>
        <v>357.91442797754661</v>
      </c>
      <c r="L27" s="30">
        <f t="shared" si="3"/>
        <v>444.4444444444444</v>
      </c>
      <c r="M27" s="30">
        <f t="shared" si="4"/>
        <v>35.55555555555555</v>
      </c>
      <c r="N27" s="39">
        <v>480</v>
      </c>
      <c r="O27" s="25">
        <f>Table1[[#This Row],[Total Selling Price / Unit (MVR)]]*Table1[[#This Row],[Qty 
(NOS)]]</f>
        <v>1920</v>
      </c>
      <c r="P27" s="64"/>
      <c r="Q27" s="7">
        <v>70.709999999999994</v>
      </c>
      <c r="R27" s="28">
        <f t="shared" si="5"/>
        <v>1555.62</v>
      </c>
      <c r="S27" s="28">
        <v>1613.92</v>
      </c>
      <c r="T27" s="7">
        <v>73.36</v>
      </c>
      <c r="U27" s="7">
        <v>11</v>
      </c>
      <c r="V27" s="69">
        <v>242</v>
      </c>
      <c r="W27" s="28">
        <v>436.48</v>
      </c>
      <c r="X27" s="28">
        <v>480</v>
      </c>
      <c r="Y27" s="25">
        <f t="shared" si="6"/>
        <v>1131.2112</v>
      </c>
      <c r="Z27" s="25">
        <f t="shared" si="7"/>
        <v>1221.7080960000001</v>
      </c>
      <c r="AA27" s="25">
        <f t="shared" si="8"/>
        <v>4886.8323840000003</v>
      </c>
      <c r="AB27" s="25">
        <f t="shared" si="9"/>
        <v>1269.9911999999999</v>
      </c>
      <c r="AC27" s="25">
        <f t="shared" si="10"/>
        <v>1371.590496</v>
      </c>
      <c r="AD27" s="25">
        <f t="shared" si="11"/>
        <v>5486.3619840000001</v>
      </c>
      <c r="AE27" s="25">
        <f t="shared" si="12"/>
        <v>1613.92</v>
      </c>
      <c r="AF27" s="25">
        <f t="shared" si="13"/>
        <v>1743.0336000000002</v>
      </c>
      <c r="AG27" s="25">
        <f t="shared" si="14"/>
        <v>6972.1344000000008</v>
      </c>
      <c r="AH27" s="25">
        <f t="shared" si="15"/>
        <v>1811.92</v>
      </c>
      <c r="AI27" s="25">
        <f t="shared" si="16"/>
        <v>1956.8736000000001</v>
      </c>
      <c r="AJ27" s="25">
        <f t="shared" si="17"/>
        <v>7827.4944000000005</v>
      </c>
      <c r="AK27" s="22">
        <f>Table1[[#This Row],[Total Selling Price / Unit (MVR)]]/Table1[[#This Row],[CNF / Unit
(MVR)]]</f>
        <v>1.9834710743801653</v>
      </c>
      <c r="AL27" s="34">
        <f>Table1[[#This Row],[Total Selling Price / Unit (MVR)]]-(Table1[[#This Row],[GST 8%
(MVR)]]+Table1[[#This Row],[Weighted max
expense (MVR)]])</f>
        <v>86.530016466897848</v>
      </c>
      <c r="AM27" s="35">
        <f>Table1[[#This Row],[Profit / Unit (MVR)]]*Table1[[#This Row],[Qty 
(NOS)]]</f>
        <v>346.12006586759139</v>
      </c>
      <c r="AN27"/>
      <c r="AO27"/>
    </row>
    <row r="28" spans="1:41" x14ac:dyDescent="0.25">
      <c r="A28" t="s">
        <v>66</v>
      </c>
      <c r="B28" s="13" t="s">
        <v>117</v>
      </c>
      <c r="C28" s="4">
        <v>4</v>
      </c>
      <c r="D28" s="7">
        <v>8.2100000000000009</v>
      </c>
      <c r="E28" s="28">
        <v>32.840000000000003</v>
      </c>
      <c r="F28" s="28">
        <f t="shared" si="0"/>
        <v>180.62</v>
      </c>
      <c r="G28" s="4">
        <f t="shared" si="1"/>
        <v>722.48</v>
      </c>
      <c r="H28" s="28">
        <v>1271.5999999999999</v>
      </c>
      <c r="I28" s="28">
        <v>367.4</v>
      </c>
      <c r="J28" s="40">
        <f t="shared" si="2"/>
        <v>195.82864899063043</v>
      </c>
      <c r="K28" s="31">
        <f>(F28/$G$92)*Costs!$B$23</f>
        <v>267.13431397233251</v>
      </c>
      <c r="L28" s="31">
        <f t="shared" si="3"/>
        <v>462.96296296296293</v>
      </c>
      <c r="M28" s="31">
        <f t="shared" si="4"/>
        <v>37.037037037037038</v>
      </c>
      <c r="N28" s="40">
        <v>500</v>
      </c>
      <c r="O28" s="25">
        <f>Table1[[#This Row],[Total Selling Price / Unit (MVR)]]*Table1[[#This Row],[Qty 
(NOS)]]</f>
        <v>2000</v>
      </c>
      <c r="P28" s="64"/>
      <c r="Q28" s="7">
        <v>55.71</v>
      </c>
      <c r="R28" s="28">
        <f t="shared" si="5"/>
        <v>1225.6200000000001</v>
      </c>
      <c r="S28" s="28">
        <v>1271.5999999999999</v>
      </c>
      <c r="T28" s="7">
        <v>57.8</v>
      </c>
      <c r="U28" s="7">
        <v>8.2100000000000009</v>
      </c>
      <c r="V28" s="70">
        <v>180.62</v>
      </c>
      <c r="W28" s="28">
        <v>367.4</v>
      </c>
      <c r="X28" s="28">
        <v>500</v>
      </c>
      <c r="Y28" s="25">
        <f t="shared" si="6"/>
        <v>891.27599999999995</v>
      </c>
      <c r="Z28" s="25">
        <f t="shared" si="7"/>
        <v>962.57808</v>
      </c>
      <c r="AA28" s="25">
        <f t="shared" si="8"/>
        <v>3850.31232</v>
      </c>
      <c r="AB28" s="25">
        <f t="shared" si="9"/>
        <v>1030.056</v>
      </c>
      <c r="AC28" s="25">
        <f t="shared" si="10"/>
        <v>1112.4604800000002</v>
      </c>
      <c r="AD28" s="25">
        <f t="shared" si="11"/>
        <v>4449.8419200000008</v>
      </c>
      <c r="AE28" s="25">
        <f t="shared" si="12"/>
        <v>1271.5999999999999</v>
      </c>
      <c r="AF28" s="25">
        <f t="shared" si="13"/>
        <v>1373.328</v>
      </c>
      <c r="AG28" s="25">
        <f t="shared" si="14"/>
        <v>5493.3119999999999</v>
      </c>
      <c r="AH28" s="25">
        <f t="shared" si="15"/>
        <v>1469.6</v>
      </c>
      <c r="AI28" s="25">
        <f t="shared" si="16"/>
        <v>1587.1679999999999</v>
      </c>
      <c r="AJ28" s="25">
        <f t="shared" si="17"/>
        <v>6348.6719999999996</v>
      </c>
      <c r="AK28" s="22">
        <f>Table1[[#This Row],[Total Selling Price / Unit (MVR)]]/Table1[[#This Row],[CNF / Unit
(MVR)]]</f>
        <v>2.7682427195216475</v>
      </c>
      <c r="AL28" s="36">
        <f>Table1[[#This Row],[Total Selling Price / Unit (MVR)]]-(Table1[[#This Row],[GST 8%
(MVR)]]+Table1[[#This Row],[Weighted max
expense (MVR)]])</f>
        <v>195.82864899063043</v>
      </c>
      <c r="AM28" s="37">
        <f>Table1[[#This Row],[Profit / Unit (MVR)]]*Table1[[#This Row],[Qty 
(NOS)]]</f>
        <v>783.31459596252171</v>
      </c>
      <c r="AN28"/>
      <c r="AO28"/>
    </row>
    <row r="29" spans="1:41" x14ac:dyDescent="0.25">
      <c r="A29" t="s">
        <v>100</v>
      </c>
      <c r="B29" s="13" t="s">
        <v>117</v>
      </c>
      <c r="C29" s="4">
        <v>4</v>
      </c>
      <c r="D29" s="7">
        <v>4.82</v>
      </c>
      <c r="E29" s="28">
        <v>19.28</v>
      </c>
      <c r="F29" s="28">
        <f t="shared" si="0"/>
        <v>106.04</v>
      </c>
      <c r="G29" s="4">
        <f t="shared" si="1"/>
        <v>424.16</v>
      </c>
      <c r="H29" s="28">
        <v>407.66</v>
      </c>
      <c r="I29" s="28">
        <v>272.8</v>
      </c>
      <c r="J29" s="39">
        <f t="shared" si="2"/>
        <v>157.98322001010797</v>
      </c>
      <c r="K29" s="30">
        <f>(F29/$G$92)*Costs!$B$23</f>
        <v>156.83159480470681</v>
      </c>
      <c r="L29" s="30">
        <f t="shared" si="3"/>
        <v>314.81481481481478</v>
      </c>
      <c r="M29" s="30">
        <f t="shared" si="4"/>
        <v>25.185185185185183</v>
      </c>
      <c r="N29" s="39">
        <v>340</v>
      </c>
      <c r="O29" s="25">
        <f>Table1[[#This Row],[Total Selling Price / Unit (MVR)]]*Table1[[#This Row],[Qty 
(NOS)]]</f>
        <v>1360</v>
      </c>
      <c r="P29" s="64"/>
      <c r="Q29" s="7">
        <v>17.86</v>
      </c>
      <c r="R29" s="28">
        <f t="shared" si="5"/>
        <v>392.91999999999996</v>
      </c>
      <c r="S29" s="28">
        <v>407.66</v>
      </c>
      <c r="T29" s="7">
        <v>18.53</v>
      </c>
      <c r="U29" s="7">
        <v>4.82</v>
      </c>
      <c r="V29" s="69">
        <v>106.04</v>
      </c>
      <c r="W29" s="28">
        <v>272.8</v>
      </c>
      <c r="X29" s="28">
        <v>340</v>
      </c>
      <c r="Y29" s="25">
        <f t="shared" si="6"/>
        <v>285.73259999999999</v>
      </c>
      <c r="Z29" s="25">
        <f t="shared" si="7"/>
        <v>308.59120799999999</v>
      </c>
      <c r="AA29" s="25">
        <f t="shared" si="8"/>
        <v>1234.364832</v>
      </c>
      <c r="AB29" s="25">
        <f t="shared" si="9"/>
        <v>424.51260000000002</v>
      </c>
      <c r="AC29" s="25">
        <f t="shared" si="10"/>
        <v>458.47360800000007</v>
      </c>
      <c r="AD29" s="25">
        <f t="shared" si="11"/>
        <v>1833.8944320000003</v>
      </c>
      <c r="AE29" s="25">
        <f t="shared" si="12"/>
        <v>407.66</v>
      </c>
      <c r="AF29" s="25">
        <f t="shared" si="13"/>
        <v>440.27280000000007</v>
      </c>
      <c r="AG29" s="25">
        <f t="shared" si="14"/>
        <v>1761.0912000000003</v>
      </c>
      <c r="AH29" s="25">
        <f t="shared" si="15"/>
        <v>605.66000000000008</v>
      </c>
      <c r="AI29" s="25">
        <f t="shared" si="16"/>
        <v>654.11280000000011</v>
      </c>
      <c r="AJ29" s="25">
        <f t="shared" si="17"/>
        <v>2616.4512000000004</v>
      </c>
      <c r="AK29" s="22">
        <f>Table1[[#This Row],[Total Selling Price / Unit (MVR)]]/Table1[[#This Row],[CNF / Unit
(MVR)]]</f>
        <v>3.2063372312334968</v>
      </c>
      <c r="AL29" s="34">
        <f>Table1[[#This Row],[Total Selling Price / Unit (MVR)]]-(Table1[[#This Row],[GST 8%
(MVR)]]+Table1[[#This Row],[Weighted max
expense (MVR)]])</f>
        <v>157.983220010108</v>
      </c>
      <c r="AM29" s="35">
        <f>Table1[[#This Row],[Profit / Unit (MVR)]]*Table1[[#This Row],[Qty 
(NOS)]]</f>
        <v>631.932880040432</v>
      </c>
      <c r="AN29"/>
      <c r="AO29"/>
    </row>
    <row r="30" spans="1:41" x14ac:dyDescent="0.25">
      <c r="A30" t="s">
        <v>70</v>
      </c>
      <c r="B30" s="13" t="s">
        <v>117</v>
      </c>
      <c r="C30" s="4">
        <v>4</v>
      </c>
      <c r="D30" s="7">
        <v>5.84</v>
      </c>
      <c r="E30" s="28">
        <v>23.36</v>
      </c>
      <c r="F30" s="28">
        <f t="shared" si="0"/>
        <v>128.47999999999999</v>
      </c>
      <c r="G30" s="4">
        <f t="shared" si="1"/>
        <v>513.91999999999996</v>
      </c>
      <c r="H30" s="28" t="s">
        <v>114</v>
      </c>
      <c r="I30" s="28">
        <v>240.67999999999998</v>
      </c>
      <c r="J30" s="40">
        <f t="shared" si="2"/>
        <v>32.202198641415663</v>
      </c>
      <c r="K30" s="31">
        <f>(F30/$G$92)*Costs!$B$23</f>
        <v>190.02002358080654</v>
      </c>
      <c r="L30" s="31">
        <f t="shared" si="3"/>
        <v>222.2222222222222</v>
      </c>
      <c r="M30" s="31">
        <f t="shared" si="4"/>
        <v>17.777777777777775</v>
      </c>
      <c r="N30" s="40">
        <v>240</v>
      </c>
      <c r="O30" s="25">
        <f>Table1[[#This Row],[Total Selling Price / Unit (MVR)]]*Table1[[#This Row],[Qty 
(NOS)]]</f>
        <v>960</v>
      </c>
      <c r="P30" s="64"/>
      <c r="Q30" s="7">
        <v>55.71</v>
      </c>
      <c r="R30" s="28">
        <f t="shared" si="5"/>
        <v>1225.6200000000001</v>
      </c>
      <c r="S30" s="28" t="s">
        <v>114</v>
      </c>
      <c r="T30" s="61">
        <v>57.8</v>
      </c>
      <c r="U30" s="7">
        <v>5.84</v>
      </c>
      <c r="V30" s="70">
        <v>128.47999999999999</v>
      </c>
      <c r="W30" s="28">
        <v>240.67999999999998</v>
      </c>
      <c r="X30" s="28">
        <v>240</v>
      </c>
      <c r="Y30" s="25">
        <f t="shared" si="6"/>
        <v>891.27599999999995</v>
      </c>
      <c r="Z30" s="25">
        <f t="shared" si="7"/>
        <v>962.57808</v>
      </c>
      <c r="AA30" s="25">
        <f t="shared" si="8"/>
        <v>3850.31232</v>
      </c>
      <c r="AB30" s="25">
        <f t="shared" si="9"/>
        <v>1030.056</v>
      </c>
      <c r="AC30" s="25">
        <f t="shared" si="10"/>
        <v>1112.4604800000002</v>
      </c>
      <c r="AD30" s="25">
        <f t="shared" si="11"/>
        <v>4449.8419200000008</v>
      </c>
      <c r="AE30" s="25">
        <f t="shared" si="12"/>
        <v>1271.5999999999999</v>
      </c>
      <c r="AF30" s="25">
        <f t="shared" si="13"/>
        <v>1373.328</v>
      </c>
      <c r="AG30" s="25">
        <f t="shared" si="14"/>
        <v>5493.3119999999999</v>
      </c>
      <c r="AH30" s="25">
        <f t="shared" si="15"/>
        <v>1469.6</v>
      </c>
      <c r="AI30" s="25">
        <f t="shared" si="16"/>
        <v>1587.1679999999999</v>
      </c>
      <c r="AJ30" s="25">
        <f t="shared" si="17"/>
        <v>6348.6719999999996</v>
      </c>
      <c r="AK30" s="22">
        <f>Table1[[#This Row],[Total Selling Price / Unit (MVR)]]/Table1[[#This Row],[CNF / Unit
(MVR)]]</f>
        <v>1.8679950186799503</v>
      </c>
      <c r="AL30" s="36">
        <f>Table1[[#This Row],[Total Selling Price / Unit (MVR)]]-(Table1[[#This Row],[GST 8%
(MVR)]]+Table1[[#This Row],[Weighted max
expense (MVR)]])</f>
        <v>32.202198641415691</v>
      </c>
      <c r="AM30" s="37">
        <f>Table1[[#This Row],[Profit / Unit (MVR)]]*Table1[[#This Row],[Qty 
(NOS)]]</f>
        <v>128.80879456566277</v>
      </c>
      <c r="AN30"/>
      <c r="AO30"/>
    </row>
    <row r="31" spans="1:41" x14ac:dyDescent="0.25">
      <c r="A31" t="s">
        <v>70</v>
      </c>
      <c r="B31" s="13" t="s">
        <v>117</v>
      </c>
      <c r="C31" s="4">
        <v>4</v>
      </c>
      <c r="D31" s="7">
        <v>5.84</v>
      </c>
      <c r="E31" s="28">
        <v>23.36</v>
      </c>
      <c r="F31" s="28">
        <f t="shared" si="0"/>
        <v>128.47999999999999</v>
      </c>
      <c r="G31" s="4">
        <f t="shared" si="1"/>
        <v>513.91999999999996</v>
      </c>
      <c r="H31" s="28" t="s">
        <v>114</v>
      </c>
      <c r="I31" s="28">
        <v>240.67999999999998</v>
      </c>
      <c r="J31" s="39">
        <f t="shared" si="2"/>
        <v>32.202198641415663</v>
      </c>
      <c r="K31" s="30">
        <f>(F31/$G$92)*Costs!$B$23</f>
        <v>190.02002358080654</v>
      </c>
      <c r="L31" s="30">
        <f t="shared" si="3"/>
        <v>222.2222222222222</v>
      </c>
      <c r="M31" s="30">
        <f t="shared" si="4"/>
        <v>17.777777777777775</v>
      </c>
      <c r="N31" s="39">
        <v>240</v>
      </c>
      <c r="O31" s="27">
        <f>Table1[[#This Row],[Total Selling Price / Unit (MVR)]]*Table1[[#This Row],[Qty 
(NOS)]]</f>
        <v>960</v>
      </c>
      <c r="P31" s="65"/>
      <c r="Q31" s="7">
        <v>55.71</v>
      </c>
      <c r="R31" s="28">
        <f t="shared" si="5"/>
        <v>1225.6200000000001</v>
      </c>
      <c r="S31" s="28" t="s">
        <v>114</v>
      </c>
      <c r="T31" s="61">
        <v>57.8</v>
      </c>
      <c r="U31" s="7">
        <v>5.84</v>
      </c>
      <c r="V31" s="69">
        <v>128.47999999999999</v>
      </c>
      <c r="W31" s="28">
        <v>240.67999999999998</v>
      </c>
      <c r="X31" s="28">
        <v>240</v>
      </c>
      <c r="Y31" s="27">
        <f t="shared" si="6"/>
        <v>891.27599999999995</v>
      </c>
      <c r="Z31" s="25">
        <f t="shared" si="7"/>
        <v>962.57808</v>
      </c>
      <c r="AA31" s="25">
        <f t="shared" si="8"/>
        <v>3850.31232</v>
      </c>
      <c r="AB31" s="25">
        <f t="shared" si="9"/>
        <v>1030.056</v>
      </c>
      <c r="AC31" s="25">
        <f t="shared" si="10"/>
        <v>1112.4604800000002</v>
      </c>
      <c r="AD31" s="25">
        <f t="shared" si="11"/>
        <v>4449.8419200000008</v>
      </c>
      <c r="AE31" s="25">
        <f t="shared" si="12"/>
        <v>1271.5999999999999</v>
      </c>
      <c r="AF31" s="25">
        <f t="shared" si="13"/>
        <v>1373.328</v>
      </c>
      <c r="AG31" s="25">
        <f t="shared" si="14"/>
        <v>5493.3119999999999</v>
      </c>
      <c r="AH31" s="25">
        <f t="shared" si="15"/>
        <v>1469.6</v>
      </c>
      <c r="AI31" s="27">
        <f t="shared" si="16"/>
        <v>1587.1679999999999</v>
      </c>
      <c r="AJ31" s="27">
        <f t="shared" si="17"/>
        <v>6348.6719999999996</v>
      </c>
      <c r="AK31" s="22">
        <f>Table1[[#This Row],[Total Selling Price / Unit (MVR)]]/Table1[[#This Row],[CNF / Unit
(MVR)]]</f>
        <v>1.8679950186799503</v>
      </c>
      <c r="AL31" s="34">
        <f>Table1[[#This Row],[Total Selling Price / Unit (MVR)]]-(Table1[[#This Row],[GST 8%
(MVR)]]+Table1[[#This Row],[Weighted max
expense (MVR)]])</f>
        <v>32.202198641415691</v>
      </c>
      <c r="AM31" s="35">
        <f>Table1[[#This Row],[Profit / Unit (MVR)]]*Table1[[#This Row],[Qty 
(NOS)]]</f>
        <v>128.80879456566277</v>
      </c>
      <c r="AN31"/>
      <c r="AO31"/>
    </row>
    <row r="32" spans="1:41" x14ac:dyDescent="0.25">
      <c r="A32" t="s">
        <v>63</v>
      </c>
      <c r="B32" s="21" t="s">
        <v>125</v>
      </c>
      <c r="C32" s="4">
        <v>4</v>
      </c>
      <c r="D32" s="7">
        <v>1.96</v>
      </c>
      <c r="E32" s="28">
        <v>7.84</v>
      </c>
      <c r="F32" s="28">
        <f t="shared" si="0"/>
        <v>43.12</v>
      </c>
      <c r="G32" s="4">
        <f t="shared" si="1"/>
        <v>172.48</v>
      </c>
      <c r="H32" s="28">
        <v>407.66</v>
      </c>
      <c r="I32" s="28">
        <v>134.42000000000002</v>
      </c>
      <c r="J32" s="40">
        <f t="shared" si="2"/>
        <v>241.78171202501088</v>
      </c>
      <c r="K32" s="31">
        <f>(F32/$G$92)*Costs!$B$23</f>
        <v>63.77384353054466</v>
      </c>
      <c r="L32" s="31">
        <f t="shared" si="3"/>
        <v>305.55555555555554</v>
      </c>
      <c r="M32" s="31">
        <f t="shared" si="4"/>
        <v>24.444444444444443</v>
      </c>
      <c r="N32" s="40">
        <v>330</v>
      </c>
      <c r="O32" s="25">
        <f>Table1[[#This Row],[Total Selling Price / Unit (MVR)]]*Table1[[#This Row],[Qty 
(NOS)]]</f>
        <v>1320</v>
      </c>
      <c r="P32" s="64"/>
      <c r="Q32" s="7">
        <v>17.86</v>
      </c>
      <c r="R32" s="28">
        <f t="shared" si="5"/>
        <v>392.91999999999996</v>
      </c>
      <c r="S32" s="28">
        <v>407.66</v>
      </c>
      <c r="T32" s="7">
        <v>18.53</v>
      </c>
      <c r="U32" s="7">
        <v>1.96</v>
      </c>
      <c r="V32" s="70">
        <v>43.12</v>
      </c>
      <c r="W32" s="28">
        <v>134.42000000000002</v>
      </c>
      <c r="X32" s="28">
        <v>330</v>
      </c>
      <c r="Y32" s="25">
        <f t="shared" si="6"/>
        <v>285.73259999999999</v>
      </c>
      <c r="Z32" s="25">
        <f t="shared" si="7"/>
        <v>308.59120799999999</v>
      </c>
      <c r="AA32" s="25">
        <f t="shared" si="8"/>
        <v>1234.364832</v>
      </c>
      <c r="AB32" s="25">
        <f t="shared" si="9"/>
        <v>424.51260000000002</v>
      </c>
      <c r="AC32" s="25">
        <f t="shared" si="10"/>
        <v>458.47360800000007</v>
      </c>
      <c r="AD32" s="25">
        <f t="shared" si="11"/>
        <v>1833.8944320000003</v>
      </c>
      <c r="AE32" s="25">
        <f t="shared" si="12"/>
        <v>407.66</v>
      </c>
      <c r="AF32" s="25">
        <f t="shared" si="13"/>
        <v>440.27280000000007</v>
      </c>
      <c r="AG32" s="25">
        <f t="shared" si="14"/>
        <v>1761.0912000000003</v>
      </c>
      <c r="AH32" s="25">
        <f t="shared" si="15"/>
        <v>605.66000000000008</v>
      </c>
      <c r="AI32" s="25">
        <f t="shared" si="16"/>
        <v>654.11280000000011</v>
      </c>
      <c r="AJ32" s="25">
        <f t="shared" si="17"/>
        <v>2616.4512000000004</v>
      </c>
      <c r="AK32" s="22">
        <f>Table1[[#This Row],[Total Selling Price / Unit (MVR)]]/Table1[[#This Row],[CNF / Unit
(MVR)]]</f>
        <v>7.6530612244897966</v>
      </c>
      <c r="AL32" s="36">
        <f>Table1[[#This Row],[Total Selling Price / Unit (MVR)]]-(Table1[[#This Row],[GST 8%
(MVR)]]+Table1[[#This Row],[Weighted max
expense (MVR)]])</f>
        <v>241.7817120250109</v>
      </c>
      <c r="AM32" s="37">
        <f>Table1[[#This Row],[Profit / Unit (MVR)]]*Table1[[#This Row],[Qty 
(NOS)]]</f>
        <v>967.12684810004362</v>
      </c>
      <c r="AN32"/>
      <c r="AO32"/>
    </row>
    <row r="33" spans="1:41" x14ac:dyDescent="0.25">
      <c r="A33" t="s">
        <v>64</v>
      </c>
      <c r="B33" s="21" t="s">
        <v>125</v>
      </c>
      <c r="C33" s="4">
        <v>4</v>
      </c>
      <c r="D33" s="7">
        <v>6.33</v>
      </c>
      <c r="E33" s="28">
        <v>25.32</v>
      </c>
      <c r="F33" s="28">
        <f t="shared" si="0"/>
        <v>139.26</v>
      </c>
      <c r="G33" s="4">
        <f t="shared" si="1"/>
        <v>557.04</v>
      </c>
      <c r="H33" s="28">
        <v>407.66</v>
      </c>
      <c r="I33" s="28">
        <v>298.10000000000002</v>
      </c>
      <c r="J33" s="39">
        <f t="shared" si="2"/>
        <v>71.81429331433506</v>
      </c>
      <c r="K33" s="30">
        <f>(F33/$G$92)*Costs!$B$23</f>
        <v>205.96348446344271</v>
      </c>
      <c r="L33" s="30">
        <f t="shared" si="3"/>
        <v>277.77777777777777</v>
      </c>
      <c r="M33" s="30">
        <f t="shared" si="4"/>
        <v>22.222222222222221</v>
      </c>
      <c r="N33" s="39">
        <v>300</v>
      </c>
      <c r="O33" s="25">
        <f>Table1[[#This Row],[Total Selling Price / Unit (MVR)]]*Table1[[#This Row],[Qty 
(NOS)]]</f>
        <v>1200</v>
      </c>
      <c r="P33" s="64"/>
      <c r="Q33" s="7">
        <v>17.86</v>
      </c>
      <c r="R33" s="28">
        <f t="shared" si="5"/>
        <v>392.91999999999996</v>
      </c>
      <c r="S33" s="28">
        <v>407.66</v>
      </c>
      <c r="T33" s="7">
        <v>18.53</v>
      </c>
      <c r="U33" s="7">
        <v>6.33</v>
      </c>
      <c r="V33" s="69">
        <v>139.26</v>
      </c>
      <c r="W33" s="28">
        <v>298.10000000000002</v>
      </c>
      <c r="X33" s="28">
        <v>300</v>
      </c>
      <c r="Y33" s="25">
        <f t="shared" si="6"/>
        <v>285.73259999999999</v>
      </c>
      <c r="Z33" s="25">
        <f t="shared" si="7"/>
        <v>308.59120799999999</v>
      </c>
      <c r="AA33" s="25">
        <f t="shared" si="8"/>
        <v>1234.364832</v>
      </c>
      <c r="AB33" s="25">
        <f t="shared" si="9"/>
        <v>424.51260000000002</v>
      </c>
      <c r="AC33" s="25">
        <f t="shared" si="10"/>
        <v>458.47360800000007</v>
      </c>
      <c r="AD33" s="25">
        <f t="shared" si="11"/>
        <v>1833.8944320000003</v>
      </c>
      <c r="AE33" s="25">
        <f t="shared" si="12"/>
        <v>407.66</v>
      </c>
      <c r="AF33" s="25">
        <f t="shared" si="13"/>
        <v>440.27280000000007</v>
      </c>
      <c r="AG33" s="25">
        <f t="shared" si="14"/>
        <v>1761.0912000000003</v>
      </c>
      <c r="AH33" s="25">
        <f t="shared" si="15"/>
        <v>605.66000000000008</v>
      </c>
      <c r="AI33" s="25">
        <f t="shared" si="16"/>
        <v>654.11280000000011</v>
      </c>
      <c r="AJ33" s="25">
        <f t="shared" si="17"/>
        <v>2616.4512000000004</v>
      </c>
      <c r="AK33" s="22">
        <f>Table1[[#This Row],[Total Selling Price / Unit (MVR)]]/Table1[[#This Row],[CNF / Unit
(MVR)]]</f>
        <v>2.154243860404998</v>
      </c>
      <c r="AL33" s="34">
        <f>Table1[[#This Row],[Total Selling Price / Unit (MVR)]]-(Table1[[#This Row],[GST 8%
(MVR)]]+Table1[[#This Row],[Weighted max
expense (MVR)]])</f>
        <v>71.81429331433506</v>
      </c>
      <c r="AM33" s="35">
        <f>Table1[[#This Row],[Profit / Unit (MVR)]]*Table1[[#This Row],[Qty 
(NOS)]]</f>
        <v>287.25717325734024</v>
      </c>
      <c r="AN33"/>
      <c r="AO33"/>
    </row>
    <row r="34" spans="1:41" x14ac:dyDescent="0.25">
      <c r="A34" t="s">
        <v>96</v>
      </c>
      <c r="B34" s="21" t="s">
        <v>125</v>
      </c>
      <c r="C34" s="4">
        <v>4</v>
      </c>
      <c r="D34" s="7">
        <v>1.96</v>
      </c>
      <c r="E34" s="28">
        <v>7.84</v>
      </c>
      <c r="F34" s="28">
        <f t="shared" si="0"/>
        <v>43.12</v>
      </c>
      <c r="G34" s="4">
        <f t="shared" si="1"/>
        <v>172.48</v>
      </c>
      <c r="H34" s="28">
        <v>407.66</v>
      </c>
      <c r="I34" s="28">
        <v>300</v>
      </c>
      <c r="J34" s="40">
        <f t="shared" si="2"/>
        <v>241.78171202501088</v>
      </c>
      <c r="K34" s="31">
        <f>(F34/$G$92)*Costs!$B$23</f>
        <v>63.77384353054466</v>
      </c>
      <c r="L34" s="31">
        <f t="shared" si="3"/>
        <v>305.55555555555554</v>
      </c>
      <c r="M34" s="31">
        <f t="shared" si="4"/>
        <v>24.444444444444443</v>
      </c>
      <c r="N34" s="40">
        <v>330</v>
      </c>
      <c r="O34" s="27">
        <f>Table1[[#This Row],[Total Selling Price / Unit (MVR)]]*Table1[[#This Row],[Qty 
(NOS)]]</f>
        <v>1320</v>
      </c>
      <c r="P34" s="65"/>
      <c r="Q34" s="7">
        <v>17.86</v>
      </c>
      <c r="R34" s="28">
        <f t="shared" si="5"/>
        <v>392.91999999999996</v>
      </c>
      <c r="S34" s="28">
        <v>407.66</v>
      </c>
      <c r="T34" s="7">
        <v>18.53</v>
      </c>
      <c r="U34" s="7">
        <v>1.96</v>
      </c>
      <c r="V34" s="70">
        <v>43.12</v>
      </c>
      <c r="W34" s="28">
        <v>300</v>
      </c>
      <c r="X34" s="28">
        <v>330</v>
      </c>
      <c r="Y34" s="27">
        <f t="shared" si="6"/>
        <v>285.73259999999999</v>
      </c>
      <c r="Z34" s="25">
        <f t="shared" si="7"/>
        <v>308.59120799999999</v>
      </c>
      <c r="AA34" s="25">
        <f t="shared" si="8"/>
        <v>1234.364832</v>
      </c>
      <c r="AB34" s="25">
        <f t="shared" si="9"/>
        <v>424.51260000000002</v>
      </c>
      <c r="AC34" s="25">
        <f t="shared" si="10"/>
        <v>458.47360800000007</v>
      </c>
      <c r="AD34" s="25">
        <f t="shared" si="11"/>
        <v>1833.8944320000003</v>
      </c>
      <c r="AE34" s="25">
        <f t="shared" si="12"/>
        <v>407.66</v>
      </c>
      <c r="AF34" s="25">
        <f t="shared" si="13"/>
        <v>440.27280000000007</v>
      </c>
      <c r="AG34" s="25">
        <f t="shared" si="14"/>
        <v>1761.0912000000003</v>
      </c>
      <c r="AH34" s="25">
        <f t="shared" si="15"/>
        <v>605.66000000000008</v>
      </c>
      <c r="AI34" s="27">
        <f t="shared" si="16"/>
        <v>654.11280000000011</v>
      </c>
      <c r="AJ34" s="27">
        <f t="shared" si="17"/>
        <v>2616.4512000000004</v>
      </c>
      <c r="AK34" s="41">
        <f>Table1[[#This Row],[Total Selling Price / Unit (MVR)]]/Table1[[#This Row],[CNF / Unit
(MVR)]]</f>
        <v>7.6530612244897966</v>
      </c>
      <c r="AL34" s="36">
        <f>Table1[[#This Row],[Total Selling Price / Unit (MVR)]]-(Table1[[#This Row],[GST 8%
(MVR)]]+Table1[[#This Row],[Weighted max
expense (MVR)]])</f>
        <v>241.7817120250109</v>
      </c>
      <c r="AM34" s="37">
        <f>Table1[[#This Row],[Profit / Unit (MVR)]]*Table1[[#This Row],[Qty 
(NOS)]]</f>
        <v>967.12684810004362</v>
      </c>
      <c r="AN34"/>
      <c r="AO34"/>
    </row>
    <row r="35" spans="1:41" x14ac:dyDescent="0.25">
      <c r="A35" t="s">
        <v>97</v>
      </c>
      <c r="B35" s="21" t="s">
        <v>125</v>
      </c>
      <c r="C35" s="4">
        <v>4</v>
      </c>
      <c r="D35" s="7">
        <v>6.33</v>
      </c>
      <c r="E35" s="28">
        <v>25.32</v>
      </c>
      <c r="F35" s="28">
        <f t="shared" ref="F35:F66" si="18">D35*22</f>
        <v>139.26</v>
      </c>
      <c r="G35" s="4">
        <f t="shared" ref="G35:G66" si="19">SUM(F35*C35)</f>
        <v>557.04</v>
      </c>
      <c r="H35" s="28" t="s">
        <v>114</v>
      </c>
      <c r="I35" s="28">
        <v>298.10000000000002</v>
      </c>
      <c r="J35" s="39">
        <f t="shared" ref="J35:J66" si="20">L35-K35</f>
        <v>71.81429331433506</v>
      </c>
      <c r="K35" s="30">
        <f>(F35/$G$92)*Costs!$B$23</f>
        <v>205.96348446344271</v>
      </c>
      <c r="L35" s="30">
        <f t="shared" ref="L35:L66" si="21">N35/1.08</f>
        <v>277.77777777777777</v>
      </c>
      <c r="M35" s="30">
        <f t="shared" ref="M35:M66" si="22">L35*0.08</f>
        <v>22.222222222222221</v>
      </c>
      <c r="N35" s="39">
        <v>300</v>
      </c>
      <c r="O35" s="27">
        <f>Table1[[#This Row],[Total Selling Price / Unit (MVR)]]*Table1[[#This Row],[Qty 
(NOS)]]</f>
        <v>1200</v>
      </c>
      <c r="P35" s="65"/>
      <c r="Q35" s="7">
        <v>17.86</v>
      </c>
      <c r="R35" s="28">
        <f t="shared" ref="R35:R66" si="23">Q35*22</f>
        <v>392.91999999999996</v>
      </c>
      <c r="S35" s="28" t="s">
        <v>114</v>
      </c>
      <c r="T35" s="61">
        <v>18.53</v>
      </c>
      <c r="U35" s="7">
        <v>6.33</v>
      </c>
      <c r="V35" s="69">
        <v>139.26</v>
      </c>
      <c r="W35" s="28">
        <v>298.10000000000002</v>
      </c>
      <c r="X35" s="28">
        <v>300</v>
      </c>
      <c r="Y35" s="27">
        <f t="shared" ref="Y35:Y66" si="24">T35*15.42</f>
        <v>285.73259999999999</v>
      </c>
      <c r="Z35" s="25">
        <f t="shared" ref="Z35:Z66" si="25">Y35*1.08</f>
        <v>308.59120799999999</v>
      </c>
      <c r="AA35" s="25">
        <f t="shared" ref="AA35:AA66" si="26">C35*Z35</f>
        <v>1234.364832</v>
      </c>
      <c r="AB35" s="25">
        <f t="shared" ref="AB35:AB66" si="27">(T35+9)*15.42</f>
        <v>424.51260000000002</v>
      </c>
      <c r="AC35" s="25">
        <f t="shared" ref="AC35:AC66" si="28">AB35*1.08</f>
        <v>458.47360800000007</v>
      </c>
      <c r="AD35" s="25">
        <f t="shared" ref="AD35:AD66" si="29">C35*AC35</f>
        <v>1833.8944320000003</v>
      </c>
      <c r="AE35" s="25">
        <f t="shared" ref="AE35:AE66" si="30">T35*22</f>
        <v>407.66</v>
      </c>
      <c r="AF35" s="25">
        <f t="shared" ref="AF35:AF66" si="31">AE35*1.08</f>
        <v>440.27280000000007</v>
      </c>
      <c r="AG35" s="25">
        <f t="shared" ref="AG35:AG66" si="32">C35*AF35</f>
        <v>1761.0912000000003</v>
      </c>
      <c r="AH35" s="25">
        <f t="shared" ref="AH35:AH66" si="33">(T35+9)*22</f>
        <v>605.66000000000008</v>
      </c>
      <c r="AI35" s="27">
        <f t="shared" ref="AI35:AI66" si="34">AH35*1.08</f>
        <v>654.11280000000011</v>
      </c>
      <c r="AJ35" s="27">
        <f t="shared" ref="AJ35:AJ66" si="35">C35*AI35</f>
        <v>2616.4512000000004</v>
      </c>
      <c r="AK35" s="22">
        <f>Table1[[#This Row],[Total Selling Price / Unit (MVR)]]/Table1[[#This Row],[CNF / Unit
(MVR)]]</f>
        <v>2.154243860404998</v>
      </c>
      <c r="AL35" s="34">
        <f>Table1[[#This Row],[Total Selling Price / Unit (MVR)]]-(Table1[[#This Row],[GST 8%
(MVR)]]+Table1[[#This Row],[Weighted max
expense (MVR)]])</f>
        <v>71.81429331433506</v>
      </c>
      <c r="AM35" s="35">
        <f>Table1[[#This Row],[Profit / Unit (MVR)]]*Table1[[#This Row],[Qty 
(NOS)]]</f>
        <v>287.25717325734024</v>
      </c>
      <c r="AN35"/>
      <c r="AO35"/>
    </row>
    <row r="36" spans="1:41" x14ac:dyDescent="0.25">
      <c r="A36" t="s">
        <v>55</v>
      </c>
      <c r="B36" s="19" t="s">
        <v>123</v>
      </c>
      <c r="C36" s="4">
        <v>4</v>
      </c>
      <c r="D36" s="7">
        <v>3.34</v>
      </c>
      <c r="E36" s="28">
        <v>13.36</v>
      </c>
      <c r="F36" s="28">
        <f t="shared" si="18"/>
        <v>73.47999999999999</v>
      </c>
      <c r="G36" s="4">
        <f t="shared" si="19"/>
        <v>293.91999999999996</v>
      </c>
      <c r="H36" s="28" t="s">
        <v>114</v>
      </c>
      <c r="I36" s="28">
        <v>125.83999999999999</v>
      </c>
      <c r="J36" s="40">
        <f t="shared" si="20"/>
        <v>67.250090521834508</v>
      </c>
      <c r="K36" s="31">
        <f>(F36/$G$92)*Costs!$B$23</f>
        <v>108.67583540409142</v>
      </c>
      <c r="L36" s="31">
        <f t="shared" si="21"/>
        <v>175.92592592592592</v>
      </c>
      <c r="M36" s="31">
        <f t="shared" si="22"/>
        <v>14.074074074074074</v>
      </c>
      <c r="N36" s="40">
        <v>190</v>
      </c>
      <c r="O36" s="25">
        <f>Table1[[#This Row],[Total Selling Price / Unit (MVR)]]*Table1[[#This Row],[Qty 
(NOS)]]</f>
        <v>760</v>
      </c>
      <c r="P36" s="64"/>
      <c r="Q36" s="7">
        <v>10.71</v>
      </c>
      <c r="R36" s="28">
        <f t="shared" si="23"/>
        <v>235.62</v>
      </c>
      <c r="S36" s="28" t="s">
        <v>114</v>
      </c>
      <c r="T36" s="61">
        <v>10</v>
      </c>
      <c r="U36" s="7">
        <v>3.34</v>
      </c>
      <c r="V36" s="70">
        <v>73.47999999999999</v>
      </c>
      <c r="W36" s="28">
        <v>125.83999999999999</v>
      </c>
      <c r="X36" s="28">
        <v>190</v>
      </c>
      <c r="Y36" s="25">
        <f t="shared" si="24"/>
        <v>154.19999999999999</v>
      </c>
      <c r="Z36" s="25">
        <f t="shared" si="25"/>
        <v>166.536</v>
      </c>
      <c r="AA36" s="25">
        <f t="shared" si="26"/>
        <v>666.14400000000001</v>
      </c>
      <c r="AB36" s="25">
        <f t="shared" si="27"/>
        <v>292.98</v>
      </c>
      <c r="AC36" s="25">
        <f t="shared" si="28"/>
        <v>316.41840000000002</v>
      </c>
      <c r="AD36" s="25">
        <f t="shared" si="29"/>
        <v>1265.6736000000001</v>
      </c>
      <c r="AE36" s="25">
        <f t="shared" si="30"/>
        <v>220</v>
      </c>
      <c r="AF36" s="25">
        <f t="shared" si="31"/>
        <v>237.60000000000002</v>
      </c>
      <c r="AG36" s="25">
        <f t="shared" si="32"/>
        <v>950.40000000000009</v>
      </c>
      <c r="AH36" s="25">
        <f t="shared" si="33"/>
        <v>418</v>
      </c>
      <c r="AI36" s="25">
        <f t="shared" si="34"/>
        <v>451.44000000000005</v>
      </c>
      <c r="AJ36" s="25">
        <f t="shared" si="35"/>
        <v>1805.7600000000002</v>
      </c>
      <c r="AK36" s="22">
        <f>Table1[[#This Row],[Total Selling Price / Unit (MVR)]]/Table1[[#This Row],[CNF / Unit
(MVR)]]</f>
        <v>2.5857376156777359</v>
      </c>
      <c r="AL36" s="36">
        <f>Table1[[#This Row],[Total Selling Price / Unit (MVR)]]-(Table1[[#This Row],[GST 8%
(MVR)]]+Table1[[#This Row],[Weighted max
expense (MVR)]])</f>
        <v>67.250090521834508</v>
      </c>
      <c r="AM36" s="37">
        <f>Table1[[#This Row],[Profit / Unit (MVR)]]*Table1[[#This Row],[Qty 
(NOS)]]</f>
        <v>269.00036208733803</v>
      </c>
      <c r="AN36"/>
      <c r="AO36"/>
    </row>
    <row r="37" spans="1:41" x14ac:dyDescent="0.25">
      <c r="A37" t="s">
        <v>56</v>
      </c>
      <c r="B37" s="19" t="s">
        <v>123</v>
      </c>
      <c r="C37" s="4">
        <v>4</v>
      </c>
      <c r="D37" s="7">
        <v>3.34</v>
      </c>
      <c r="E37" s="28">
        <v>13.36</v>
      </c>
      <c r="F37" s="28">
        <f t="shared" si="18"/>
        <v>73.47999999999999</v>
      </c>
      <c r="G37" s="4">
        <f t="shared" si="19"/>
        <v>293.91999999999996</v>
      </c>
      <c r="H37" s="28" t="s">
        <v>114</v>
      </c>
      <c r="I37" s="28">
        <v>125.83999999999999</v>
      </c>
      <c r="J37" s="39">
        <f t="shared" si="20"/>
        <v>67.250090521834508</v>
      </c>
      <c r="K37" s="30">
        <f>(F37/$G$92)*Costs!$B$23</f>
        <v>108.67583540409142</v>
      </c>
      <c r="L37" s="30">
        <f t="shared" si="21"/>
        <v>175.92592592592592</v>
      </c>
      <c r="M37" s="30">
        <f t="shared" si="22"/>
        <v>14.074074074074074</v>
      </c>
      <c r="N37" s="39">
        <v>190</v>
      </c>
      <c r="O37" s="25">
        <f>Table1[[#This Row],[Total Selling Price / Unit (MVR)]]*Table1[[#This Row],[Qty 
(NOS)]]</f>
        <v>760</v>
      </c>
      <c r="P37" s="64"/>
      <c r="Q37" s="7">
        <v>10.71</v>
      </c>
      <c r="R37" s="28">
        <f t="shared" si="23"/>
        <v>235.62</v>
      </c>
      <c r="S37" s="28" t="s">
        <v>114</v>
      </c>
      <c r="T37" s="61">
        <v>10</v>
      </c>
      <c r="U37" s="7">
        <v>3.34</v>
      </c>
      <c r="V37" s="69">
        <v>73.47999999999999</v>
      </c>
      <c r="W37" s="28">
        <v>125.83999999999999</v>
      </c>
      <c r="X37" s="28">
        <v>190</v>
      </c>
      <c r="Y37" s="25">
        <f t="shared" si="24"/>
        <v>154.19999999999999</v>
      </c>
      <c r="Z37" s="25">
        <f t="shared" si="25"/>
        <v>166.536</v>
      </c>
      <c r="AA37" s="25">
        <f t="shared" si="26"/>
        <v>666.14400000000001</v>
      </c>
      <c r="AB37" s="25">
        <f t="shared" si="27"/>
        <v>292.98</v>
      </c>
      <c r="AC37" s="25">
        <f t="shared" si="28"/>
        <v>316.41840000000002</v>
      </c>
      <c r="AD37" s="25">
        <f t="shared" si="29"/>
        <v>1265.6736000000001</v>
      </c>
      <c r="AE37" s="25">
        <f t="shared" si="30"/>
        <v>220</v>
      </c>
      <c r="AF37" s="25">
        <f t="shared" si="31"/>
        <v>237.60000000000002</v>
      </c>
      <c r="AG37" s="25">
        <f t="shared" si="32"/>
        <v>950.40000000000009</v>
      </c>
      <c r="AH37" s="25">
        <f t="shared" si="33"/>
        <v>418</v>
      </c>
      <c r="AI37" s="25">
        <f t="shared" si="34"/>
        <v>451.44000000000005</v>
      </c>
      <c r="AJ37" s="25">
        <f t="shared" si="35"/>
        <v>1805.7600000000002</v>
      </c>
      <c r="AK37" s="22">
        <f>Table1[[#This Row],[Total Selling Price / Unit (MVR)]]/Table1[[#This Row],[CNF / Unit
(MVR)]]</f>
        <v>2.5857376156777359</v>
      </c>
      <c r="AL37" s="34">
        <f>Table1[[#This Row],[Total Selling Price / Unit (MVR)]]-(Table1[[#This Row],[GST 8%
(MVR)]]+Table1[[#This Row],[Weighted max
expense (MVR)]])</f>
        <v>67.250090521834508</v>
      </c>
      <c r="AM37" s="35">
        <f>Table1[[#This Row],[Profit / Unit (MVR)]]*Table1[[#This Row],[Qty 
(NOS)]]</f>
        <v>269.00036208733803</v>
      </c>
      <c r="AN37"/>
      <c r="AO37"/>
    </row>
    <row r="38" spans="1:41" x14ac:dyDescent="0.25">
      <c r="A38" t="s">
        <v>57</v>
      </c>
      <c r="B38" s="19" t="s">
        <v>123</v>
      </c>
      <c r="C38" s="4">
        <v>4</v>
      </c>
      <c r="D38" s="7">
        <v>3.34</v>
      </c>
      <c r="E38" s="28">
        <v>13.36</v>
      </c>
      <c r="F38" s="28">
        <f t="shared" si="18"/>
        <v>73.47999999999999</v>
      </c>
      <c r="G38" s="4">
        <f t="shared" si="19"/>
        <v>293.91999999999996</v>
      </c>
      <c r="H38" s="28" t="s">
        <v>114</v>
      </c>
      <c r="I38" s="28">
        <v>125.83999999999999</v>
      </c>
      <c r="J38" s="40">
        <f t="shared" si="20"/>
        <v>67.250090521834508</v>
      </c>
      <c r="K38" s="31">
        <f>(F38/$G$92)*Costs!$B$23</f>
        <v>108.67583540409142</v>
      </c>
      <c r="L38" s="31">
        <f t="shared" si="21"/>
        <v>175.92592592592592</v>
      </c>
      <c r="M38" s="31">
        <f t="shared" si="22"/>
        <v>14.074074074074074</v>
      </c>
      <c r="N38" s="40">
        <v>190</v>
      </c>
      <c r="O38" s="25">
        <f>Table1[[#This Row],[Total Selling Price / Unit (MVR)]]*Table1[[#This Row],[Qty 
(NOS)]]</f>
        <v>760</v>
      </c>
      <c r="P38" s="64"/>
      <c r="Q38" s="7">
        <v>10.71</v>
      </c>
      <c r="R38" s="28">
        <f t="shared" si="23"/>
        <v>235.62</v>
      </c>
      <c r="S38" s="28" t="s">
        <v>114</v>
      </c>
      <c r="T38" s="61">
        <v>10</v>
      </c>
      <c r="U38" s="7">
        <v>3.34</v>
      </c>
      <c r="V38" s="70">
        <v>73.47999999999999</v>
      </c>
      <c r="W38" s="28">
        <v>125.83999999999999</v>
      </c>
      <c r="X38" s="28">
        <v>190</v>
      </c>
      <c r="Y38" s="25">
        <f t="shared" si="24"/>
        <v>154.19999999999999</v>
      </c>
      <c r="Z38" s="25">
        <f t="shared" si="25"/>
        <v>166.536</v>
      </c>
      <c r="AA38" s="25">
        <f t="shared" si="26"/>
        <v>666.14400000000001</v>
      </c>
      <c r="AB38" s="25">
        <f t="shared" si="27"/>
        <v>292.98</v>
      </c>
      <c r="AC38" s="25">
        <f t="shared" si="28"/>
        <v>316.41840000000002</v>
      </c>
      <c r="AD38" s="25">
        <f t="shared" si="29"/>
        <v>1265.6736000000001</v>
      </c>
      <c r="AE38" s="25">
        <f t="shared" si="30"/>
        <v>220</v>
      </c>
      <c r="AF38" s="25">
        <f t="shared" si="31"/>
        <v>237.60000000000002</v>
      </c>
      <c r="AG38" s="25">
        <f t="shared" si="32"/>
        <v>950.40000000000009</v>
      </c>
      <c r="AH38" s="25">
        <f t="shared" si="33"/>
        <v>418</v>
      </c>
      <c r="AI38" s="25">
        <f t="shared" si="34"/>
        <v>451.44000000000005</v>
      </c>
      <c r="AJ38" s="25">
        <f t="shared" si="35"/>
        <v>1805.7600000000002</v>
      </c>
      <c r="AK38" s="22">
        <f>Table1[[#This Row],[Total Selling Price / Unit (MVR)]]/Table1[[#This Row],[CNF / Unit
(MVR)]]</f>
        <v>2.5857376156777359</v>
      </c>
      <c r="AL38" s="36">
        <f>Table1[[#This Row],[Total Selling Price / Unit (MVR)]]-(Table1[[#This Row],[GST 8%
(MVR)]]+Table1[[#This Row],[Weighted max
expense (MVR)]])</f>
        <v>67.250090521834508</v>
      </c>
      <c r="AM38" s="37">
        <f>Table1[[#This Row],[Profit / Unit (MVR)]]*Table1[[#This Row],[Qty 
(NOS)]]</f>
        <v>269.00036208733803</v>
      </c>
      <c r="AN38"/>
      <c r="AO38"/>
    </row>
    <row r="39" spans="1:41" x14ac:dyDescent="0.25">
      <c r="A39" t="s">
        <v>62</v>
      </c>
      <c r="B39" s="20" t="s">
        <v>124</v>
      </c>
      <c r="C39" s="4">
        <v>4</v>
      </c>
      <c r="D39" s="7">
        <v>2.13</v>
      </c>
      <c r="E39" s="28">
        <v>8.52</v>
      </c>
      <c r="F39" s="28">
        <f t="shared" si="18"/>
        <v>46.86</v>
      </c>
      <c r="G39" s="4">
        <f t="shared" si="19"/>
        <v>187.44</v>
      </c>
      <c r="H39" s="28">
        <v>440</v>
      </c>
      <c r="I39" s="28">
        <v>47.739999999999995</v>
      </c>
      <c r="J39" s="39">
        <f t="shared" si="20"/>
        <v>143.65771463640166</v>
      </c>
      <c r="K39" s="30">
        <f>(F39/$G$92)*Costs!$B$23</f>
        <v>69.305248326561298</v>
      </c>
      <c r="L39" s="30">
        <f t="shared" si="21"/>
        <v>212.96296296296296</v>
      </c>
      <c r="M39" s="30">
        <f t="shared" si="22"/>
        <v>17.037037037037038</v>
      </c>
      <c r="N39" s="39">
        <v>230</v>
      </c>
      <c r="O39" s="25">
        <f>Table1[[#This Row],[Total Selling Price / Unit (MVR)]]*Table1[[#This Row],[Qty 
(NOS)]]</f>
        <v>920</v>
      </c>
      <c r="P39" s="64"/>
      <c r="Q39" s="7">
        <v>7.14</v>
      </c>
      <c r="R39" s="28">
        <f t="shared" si="23"/>
        <v>157.07999999999998</v>
      </c>
      <c r="S39" s="28">
        <v>440</v>
      </c>
      <c r="T39" s="7">
        <v>20</v>
      </c>
      <c r="U39" s="7">
        <v>2.13</v>
      </c>
      <c r="V39" s="69">
        <v>46.86</v>
      </c>
      <c r="W39" s="28">
        <v>47.739999999999995</v>
      </c>
      <c r="X39" s="28">
        <v>230</v>
      </c>
      <c r="Y39" s="25">
        <f t="shared" si="24"/>
        <v>308.39999999999998</v>
      </c>
      <c r="Z39" s="25">
        <f t="shared" si="25"/>
        <v>333.072</v>
      </c>
      <c r="AA39" s="25">
        <f t="shared" si="26"/>
        <v>1332.288</v>
      </c>
      <c r="AB39" s="25">
        <f t="shared" si="27"/>
        <v>447.18</v>
      </c>
      <c r="AC39" s="25">
        <f t="shared" si="28"/>
        <v>482.95440000000002</v>
      </c>
      <c r="AD39" s="25">
        <f t="shared" si="29"/>
        <v>1931.8176000000001</v>
      </c>
      <c r="AE39" s="25">
        <f t="shared" si="30"/>
        <v>440</v>
      </c>
      <c r="AF39" s="25">
        <f t="shared" si="31"/>
        <v>475.20000000000005</v>
      </c>
      <c r="AG39" s="25">
        <f t="shared" si="32"/>
        <v>1900.8000000000002</v>
      </c>
      <c r="AH39" s="25">
        <f t="shared" si="33"/>
        <v>638</v>
      </c>
      <c r="AI39" s="25">
        <f t="shared" si="34"/>
        <v>689.04000000000008</v>
      </c>
      <c r="AJ39" s="25">
        <f t="shared" si="35"/>
        <v>2756.1600000000003</v>
      </c>
      <c r="AK39" s="22">
        <f>Table1[[#This Row],[Total Selling Price / Unit (MVR)]]/Table1[[#This Row],[CNF / Unit
(MVR)]]</f>
        <v>4.9082373026035002</v>
      </c>
      <c r="AL39" s="34">
        <f>Table1[[#This Row],[Total Selling Price / Unit (MVR)]]-(Table1[[#This Row],[GST 8%
(MVR)]]+Table1[[#This Row],[Weighted max
expense (MVR)]])</f>
        <v>143.65771463640166</v>
      </c>
      <c r="AM39" s="35">
        <f>Table1[[#This Row],[Profit / Unit (MVR)]]*Table1[[#This Row],[Qty 
(NOS)]]</f>
        <v>574.63085854560666</v>
      </c>
      <c r="AN39"/>
      <c r="AO39"/>
    </row>
    <row r="40" spans="1:41" x14ac:dyDescent="0.25">
      <c r="A40" t="s">
        <v>58</v>
      </c>
      <c r="B40" s="20" t="s">
        <v>124</v>
      </c>
      <c r="C40" s="4">
        <v>4</v>
      </c>
      <c r="D40" s="7">
        <v>2.13</v>
      </c>
      <c r="E40" s="28">
        <v>8.52</v>
      </c>
      <c r="F40" s="28">
        <f t="shared" si="18"/>
        <v>46.86</v>
      </c>
      <c r="G40" s="4">
        <f t="shared" si="19"/>
        <v>187.44</v>
      </c>
      <c r="H40" s="28">
        <v>440</v>
      </c>
      <c r="I40" s="28">
        <v>47.739999999999995</v>
      </c>
      <c r="J40" s="40">
        <f t="shared" si="20"/>
        <v>143.65771463640166</v>
      </c>
      <c r="K40" s="31">
        <f>(F40/$G$92)*Costs!$B$23</f>
        <v>69.305248326561298</v>
      </c>
      <c r="L40" s="31">
        <f t="shared" si="21"/>
        <v>212.96296296296296</v>
      </c>
      <c r="M40" s="31">
        <f t="shared" si="22"/>
        <v>17.037037037037038</v>
      </c>
      <c r="N40" s="40">
        <v>230</v>
      </c>
      <c r="O40" s="25">
        <f>Table1[[#This Row],[Total Selling Price / Unit (MVR)]]*Table1[[#This Row],[Qty 
(NOS)]]</f>
        <v>920</v>
      </c>
      <c r="P40" s="64"/>
      <c r="Q40" s="7">
        <v>7.14</v>
      </c>
      <c r="R40" s="28">
        <f t="shared" si="23"/>
        <v>157.07999999999998</v>
      </c>
      <c r="S40" s="28">
        <v>440</v>
      </c>
      <c r="T40" s="7">
        <v>20</v>
      </c>
      <c r="U40" s="7">
        <v>2.13</v>
      </c>
      <c r="V40" s="70">
        <v>46.86</v>
      </c>
      <c r="W40" s="28">
        <v>47.739999999999995</v>
      </c>
      <c r="X40" s="28">
        <v>230</v>
      </c>
      <c r="Y40" s="25">
        <f t="shared" si="24"/>
        <v>308.39999999999998</v>
      </c>
      <c r="Z40" s="25">
        <f t="shared" si="25"/>
        <v>333.072</v>
      </c>
      <c r="AA40" s="25">
        <f t="shared" si="26"/>
        <v>1332.288</v>
      </c>
      <c r="AB40" s="25">
        <f t="shared" si="27"/>
        <v>447.18</v>
      </c>
      <c r="AC40" s="25">
        <f t="shared" si="28"/>
        <v>482.95440000000002</v>
      </c>
      <c r="AD40" s="25">
        <f t="shared" si="29"/>
        <v>1931.8176000000001</v>
      </c>
      <c r="AE40" s="25">
        <f t="shared" si="30"/>
        <v>440</v>
      </c>
      <c r="AF40" s="25">
        <f t="shared" si="31"/>
        <v>475.20000000000005</v>
      </c>
      <c r="AG40" s="25">
        <f t="shared" si="32"/>
        <v>1900.8000000000002</v>
      </c>
      <c r="AH40" s="25">
        <f t="shared" si="33"/>
        <v>638</v>
      </c>
      <c r="AI40" s="25">
        <f t="shared" si="34"/>
        <v>689.04000000000008</v>
      </c>
      <c r="AJ40" s="25">
        <f t="shared" si="35"/>
        <v>2756.1600000000003</v>
      </c>
      <c r="AK40" s="22">
        <f>Table1[[#This Row],[Total Selling Price / Unit (MVR)]]/Table1[[#This Row],[CNF / Unit
(MVR)]]</f>
        <v>4.9082373026035002</v>
      </c>
      <c r="AL40" s="36">
        <f>Table1[[#This Row],[Total Selling Price / Unit (MVR)]]-(Table1[[#This Row],[GST 8%
(MVR)]]+Table1[[#This Row],[Weighted max
expense (MVR)]])</f>
        <v>143.65771463640166</v>
      </c>
      <c r="AM40" s="37">
        <f>Table1[[#This Row],[Profit / Unit (MVR)]]*Table1[[#This Row],[Qty 
(NOS)]]</f>
        <v>574.63085854560666</v>
      </c>
      <c r="AN40"/>
      <c r="AO40"/>
    </row>
    <row r="41" spans="1:41" x14ac:dyDescent="0.25">
      <c r="A41" t="s">
        <v>61</v>
      </c>
      <c r="B41" s="20" t="s">
        <v>124</v>
      </c>
      <c r="C41" s="4">
        <v>4</v>
      </c>
      <c r="D41" s="7">
        <v>2.13</v>
      </c>
      <c r="E41" s="28">
        <v>8.52</v>
      </c>
      <c r="F41" s="28">
        <f t="shared" si="18"/>
        <v>46.86</v>
      </c>
      <c r="G41" s="4">
        <f t="shared" si="19"/>
        <v>187.44</v>
      </c>
      <c r="H41" s="28">
        <v>440</v>
      </c>
      <c r="I41" s="28">
        <v>47.739999999999995</v>
      </c>
      <c r="J41" s="39">
        <f t="shared" si="20"/>
        <v>143.65771463640166</v>
      </c>
      <c r="K41" s="30">
        <f>(F41/$G$92)*Costs!$B$23</f>
        <v>69.305248326561298</v>
      </c>
      <c r="L41" s="30">
        <f t="shared" si="21"/>
        <v>212.96296296296296</v>
      </c>
      <c r="M41" s="30">
        <f t="shared" si="22"/>
        <v>17.037037037037038</v>
      </c>
      <c r="N41" s="39">
        <v>230</v>
      </c>
      <c r="O41" s="25">
        <f>Table1[[#This Row],[Total Selling Price / Unit (MVR)]]*Table1[[#This Row],[Qty 
(NOS)]]</f>
        <v>920</v>
      </c>
      <c r="P41" s="64"/>
      <c r="Q41" s="7">
        <v>7.14</v>
      </c>
      <c r="R41" s="28">
        <f t="shared" si="23"/>
        <v>157.07999999999998</v>
      </c>
      <c r="S41" s="28">
        <v>440</v>
      </c>
      <c r="T41" s="7">
        <v>20</v>
      </c>
      <c r="U41" s="7">
        <v>2.13</v>
      </c>
      <c r="V41" s="69">
        <v>46.86</v>
      </c>
      <c r="W41" s="28">
        <v>47.739999999999995</v>
      </c>
      <c r="X41" s="28">
        <v>230</v>
      </c>
      <c r="Y41" s="25">
        <f t="shared" si="24"/>
        <v>308.39999999999998</v>
      </c>
      <c r="Z41" s="25">
        <f t="shared" si="25"/>
        <v>333.072</v>
      </c>
      <c r="AA41" s="25">
        <f t="shared" si="26"/>
        <v>1332.288</v>
      </c>
      <c r="AB41" s="25">
        <f t="shared" si="27"/>
        <v>447.18</v>
      </c>
      <c r="AC41" s="25">
        <f t="shared" si="28"/>
        <v>482.95440000000002</v>
      </c>
      <c r="AD41" s="25">
        <f t="shared" si="29"/>
        <v>1931.8176000000001</v>
      </c>
      <c r="AE41" s="25">
        <f t="shared" si="30"/>
        <v>440</v>
      </c>
      <c r="AF41" s="25">
        <f t="shared" si="31"/>
        <v>475.20000000000005</v>
      </c>
      <c r="AG41" s="25">
        <f t="shared" si="32"/>
        <v>1900.8000000000002</v>
      </c>
      <c r="AH41" s="25">
        <f t="shared" si="33"/>
        <v>638</v>
      </c>
      <c r="AI41" s="25">
        <f t="shared" si="34"/>
        <v>689.04000000000008</v>
      </c>
      <c r="AJ41" s="25">
        <f t="shared" si="35"/>
        <v>2756.1600000000003</v>
      </c>
      <c r="AK41" s="22">
        <f>Table1[[#This Row],[Total Selling Price / Unit (MVR)]]/Table1[[#This Row],[CNF / Unit
(MVR)]]</f>
        <v>4.9082373026035002</v>
      </c>
      <c r="AL41" s="34">
        <f>Table1[[#This Row],[Total Selling Price / Unit (MVR)]]-(Table1[[#This Row],[GST 8%
(MVR)]]+Table1[[#This Row],[Weighted max
expense (MVR)]])</f>
        <v>143.65771463640166</v>
      </c>
      <c r="AM41" s="35">
        <f>Table1[[#This Row],[Profit / Unit (MVR)]]*Table1[[#This Row],[Qty 
(NOS)]]</f>
        <v>574.63085854560666</v>
      </c>
      <c r="AN41"/>
      <c r="AO41"/>
    </row>
    <row r="42" spans="1:41" x14ac:dyDescent="0.25">
      <c r="A42" t="s">
        <v>59</v>
      </c>
      <c r="B42" s="20" t="s">
        <v>124</v>
      </c>
      <c r="C42" s="4">
        <v>4</v>
      </c>
      <c r="D42" s="7">
        <v>2.13</v>
      </c>
      <c r="E42" s="28">
        <v>8.52</v>
      </c>
      <c r="F42" s="28">
        <f t="shared" si="18"/>
        <v>46.86</v>
      </c>
      <c r="G42" s="4">
        <f t="shared" si="19"/>
        <v>187.44</v>
      </c>
      <c r="H42" s="28">
        <v>440</v>
      </c>
      <c r="I42" s="28">
        <v>47.739999999999995</v>
      </c>
      <c r="J42" s="40">
        <f t="shared" si="20"/>
        <v>143.65771463640166</v>
      </c>
      <c r="K42" s="31">
        <f>(F42/$G$92)*Costs!$B$23</f>
        <v>69.305248326561298</v>
      </c>
      <c r="L42" s="31">
        <f t="shared" si="21"/>
        <v>212.96296296296296</v>
      </c>
      <c r="M42" s="31">
        <f t="shared" si="22"/>
        <v>17.037037037037038</v>
      </c>
      <c r="N42" s="40">
        <v>230</v>
      </c>
      <c r="O42" s="25">
        <f>Table1[[#This Row],[Total Selling Price / Unit (MVR)]]*Table1[[#This Row],[Qty 
(NOS)]]</f>
        <v>920</v>
      </c>
      <c r="P42" s="64"/>
      <c r="Q42" s="7">
        <v>7.14</v>
      </c>
      <c r="R42" s="28">
        <f t="shared" si="23"/>
        <v>157.07999999999998</v>
      </c>
      <c r="S42" s="28">
        <v>440</v>
      </c>
      <c r="T42" s="7">
        <v>20</v>
      </c>
      <c r="U42" s="7">
        <v>2.13</v>
      </c>
      <c r="V42" s="70">
        <v>46.86</v>
      </c>
      <c r="W42" s="28">
        <v>47.739999999999995</v>
      </c>
      <c r="X42" s="28">
        <v>230</v>
      </c>
      <c r="Y42" s="25">
        <f t="shared" si="24"/>
        <v>308.39999999999998</v>
      </c>
      <c r="Z42" s="25">
        <f t="shared" si="25"/>
        <v>333.072</v>
      </c>
      <c r="AA42" s="25">
        <f t="shared" si="26"/>
        <v>1332.288</v>
      </c>
      <c r="AB42" s="25">
        <f t="shared" si="27"/>
        <v>447.18</v>
      </c>
      <c r="AC42" s="25">
        <f t="shared" si="28"/>
        <v>482.95440000000002</v>
      </c>
      <c r="AD42" s="25">
        <f t="shared" si="29"/>
        <v>1931.8176000000001</v>
      </c>
      <c r="AE42" s="25">
        <f t="shared" si="30"/>
        <v>440</v>
      </c>
      <c r="AF42" s="25">
        <f t="shared" si="31"/>
        <v>475.20000000000005</v>
      </c>
      <c r="AG42" s="25">
        <f t="shared" si="32"/>
        <v>1900.8000000000002</v>
      </c>
      <c r="AH42" s="25">
        <f t="shared" si="33"/>
        <v>638</v>
      </c>
      <c r="AI42" s="25">
        <f t="shared" si="34"/>
        <v>689.04000000000008</v>
      </c>
      <c r="AJ42" s="25">
        <f t="shared" si="35"/>
        <v>2756.1600000000003</v>
      </c>
      <c r="AK42" s="22">
        <f>Table1[[#This Row],[Total Selling Price / Unit (MVR)]]/Table1[[#This Row],[CNF / Unit
(MVR)]]</f>
        <v>4.9082373026035002</v>
      </c>
      <c r="AL42" s="36">
        <f>Table1[[#This Row],[Total Selling Price / Unit (MVR)]]-(Table1[[#This Row],[GST 8%
(MVR)]]+Table1[[#This Row],[Weighted max
expense (MVR)]])</f>
        <v>143.65771463640166</v>
      </c>
      <c r="AM42" s="37">
        <f>Table1[[#This Row],[Profit / Unit (MVR)]]*Table1[[#This Row],[Qty 
(NOS)]]</f>
        <v>574.63085854560666</v>
      </c>
      <c r="AN42"/>
      <c r="AO42"/>
    </row>
    <row r="43" spans="1:41" x14ac:dyDescent="0.25">
      <c r="A43" t="s">
        <v>60</v>
      </c>
      <c r="B43" s="20" t="s">
        <v>124</v>
      </c>
      <c r="C43" s="4">
        <v>4</v>
      </c>
      <c r="D43" s="7">
        <v>2.13</v>
      </c>
      <c r="E43" s="28">
        <v>8.52</v>
      </c>
      <c r="F43" s="28">
        <f t="shared" si="18"/>
        <v>46.86</v>
      </c>
      <c r="G43" s="4">
        <f t="shared" si="19"/>
        <v>187.44</v>
      </c>
      <c r="H43" s="28">
        <v>440</v>
      </c>
      <c r="I43" s="28">
        <v>47.74</v>
      </c>
      <c r="J43" s="39">
        <f t="shared" si="20"/>
        <v>143.65771463640166</v>
      </c>
      <c r="K43" s="30">
        <f>(F43/$G$92)*Costs!$B$23</f>
        <v>69.305248326561298</v>
      </c>
      <c r="L43" s="30">
        <f t="shared" si="21"/>
        <v>212.96296296296296</v>
      </c>
      <c r="M43" s="30">
        <f t="shared" si="22"/>
        <v>17.037037037037038</v>
      </c>
      <c r="N43" s="39">
        <v>230</v>
      </c>
      <c r="O43" s="25">
        <f>Table1[[#This Row],[Total Selling Price / Unit (MVR)]]*Table1[[#This Row],[Qty 
(NOS)]]</f>
        <v>920</v>
      </c>
      <c r="P43" s="64"/>
      <c r="Q43" s="7">
        <v>7.14</v>
      </c>
      <c r="R43" s="28">
        <f t="shared" si="23"/>
        <v>157.07999999999998</v>
      </c>
      <c r="S43" s="28">
        <v>440</v>
      </c>
      <c r="T43" s="7">
        <v>20</v>
      </c>
      <c r="U43" s="7">
        <v>2.13</v>
      </c>
      <c r="V43" s="69">
        <v>46.86</v>
      </c>
      <c r="W43" s="28">
        <v>47.74</v>
      </c>
      <c r="X43" s="28">
        <v>230</v>
      </c>
      <c r="Y43" s="25">
        <f t="shared" si="24"/>
        <v>308.39999999999998</v>
      </c>
      <c r="Z43" s="25">
        <f t="shared" si="25"/>
        <v>333.072</v>
      </c>
      <c r="AA43" s="25">
        <f t="shared" si="26"/>
        <v>1332.288</v>
      </c>
      <c r="AB43" s="25">
        <f t="shared" si="27"/>
        <v>447.18</v>
      </c>
      <c r="AC43" s="25">
        <f t="shared" si="28"/>
        <v>482.95440000000002</v>
      </c>
      <c r="AD43" s="25">
        <f t="shared" si="29"/>
        <v>1931.8176000000001</v>
      </c>
      <c r="AE43" s="25">
        <f t="shared" si="30"/>
        <v>440</v>
      </c>
      <c r="AF43" s="25">
        <f t="shared" si="31"/>
        <v>475.20000000000005</v>
      </c>
      <c r="AG43" s="25">
        <f t="shared" si="32"/>
        <v>1900.8000000000002</v>
      </c>
      <c r="AH43" s="25">
        <f t="shared" si="33"/>
        <v>638</v>
      </c>
      <c r="AI43" s="25">
        <f t="shared" si="34"/>
        <v>689.04000000000008</v>
      </c>
      <c r="AJ43" s="25">
        <f t="shared" si="35"/>
        <v>2756.1600000000003</v>
      </c>
      <c r="AK43" s="22">
        <f>Table1[[#This Row],[Total Selling Price / Unit (MVR)]]/Table1[[#This Row],[CNF / Unit
(MVR)]]</f>
        <v>4.9082373026035002</v>
      </c>
      <c r="AL43" s="34">
        <f>Table1[[#This Row],[Total Selling Price / Unit (MVR)]]-(Table1[[#This Row],[GST 8%
(MVR)]]+Table1[[#This Row],[Weighted max
expense (MVR)]])</f>
        <v>143.65771463640166</v>
      </c>
      <c r="AM43" s="35">
        <f>Table1[[#This Row],[Profit / Unit (MVR)]]*Table1[[#This Row],[Qty 
(NOS)]]</f>
        <v>574.63085854560666</v>
      </c>
      <c r="AN43"/>
      <c r="AO43"/>
    </row>
    <row r="44" spans="1:41" x14ac:dyDescent="0.25">
      <c r="A44" t="s">
        <v>108</v>
      </c>
      <c r="B44" s="14" t="s">
        <v>118</v>
      </c>
      <c r="C44" s="4">
        <v>4</v>
      </c>
      <c r="D44" s="7">
        <v>12.18</v>
      </c>
      <c r="E44" s="28">
        <v>48.72</v>
      </c>
      <c r="F44" s="28">
        <f t="shared" si="18"/>
        <v>267.95999999999998</v>
      </c>
      <c r="G44" s="4">
        <f t="shared" si="19"/>
        <v>1071.8399999999999</v>
      </c>
      <c r="H44" s="28">
        <v>1956.24</v>
      </c>
      <c r="I44" s="28">
        <v>459.58000000000004</v>
      </c>
      <c r="J44" s="40">
        <f t="shared" si="20"/>
        <v>85.172596684525388</v>
      </c>
      <c r="K44" s="31">
        <f>(F44/$G$92)*Costs!$B$23</f>
        <v>396.30888479695608</v>
      </c>
      <c r="L44" s="31">
        <f t="shared" si="21"/>
        <v>481.48148148148147</v>
      </c>
      <c r="M44" s="31">
        <f t="shared" si="22"/>
        <v>38.518518518518519</v>
      </c>
      <c r="N44" s="40">
        <v>520</v>
      </c>
      <c r="O44" s="25">
        <f>Table1[[#This Row],[Total Selling Price / Unit (MVR)]]*Table1[[#This Row],[Qty 
(NOS)]]</f>
        <v>2080</v>
      </c>
      <c r="P44" s="64"/>
      <c r="Q44" s="7">
        <v>53.57</v>
      </c>
      <c r="R44" s="28">
        <f t="shared" si="23"/>
        <v>1178.54</v>
      </c>
      <c r="S44" s="28">
        <v>1956.24</v>
      </c>
      <c r="T44" s="7">
        <v>88.92</v>
      </c>
      <c r="U44" s="7">
        <v>12.18</v>
      </c>
      <c r="V44" s="70">
        <v>267.95999999999998</v>
      </c>
      <c r="W44" s="28">
        <v>459.58000000000004</v>
      </c>
      <c r="X44" s="28">
        <v>520</v>
      </c>
      <c r="Y44" s="25">
        <f t="shared" si="24"/>
        <v>1371.1464000000001</v>
      </c>
      <c r="Z44" s="25">
        <f t="shared" si="25"/>
        <v>1480.8381120000001</v>
      </c>
      <c r="AA44" s="25">
        <f t="shared" si="26"/>
        <v>5923.3524480000005</v>
      </c>
      <c r="AB44" s="25">
        <f t="shared" si="27"/>
        <v>1509.9264000000001</v>
      </c>
      <c r="AC44" s="25">
        <f t="shared" si="28"/>
        <v>1630.7205120000001</v>
      </c>
      <c r="AD44" s="25">
        <f t="shared" si="29"/>
        <v>6522.8820480000004</v>
      </c>
      <c r="AE44" s="25">
        <f t="shared" si="30"/>
        <v>1956.24</v>
      </c>
      <c r="AF44" s="25">
        <f t="shared" si="31"/>
        <v>2112.7392</v>
      </c>
      <c r="AG44" s="25">
        <f t="shared" si="32"/>
        <v>8450.9567999999999</v>
      </c>
      <c r="AH44" s="25">
        <f t="shared" si="33"/>
        <v>2154.2400000000002</v>
      </c>
      <c r="AI44" s="25">
        <f t="shared" si="34"/>
        <v>2326.5792000000006</v>
      </c>
      <c r="AJ44" s="25">
        <f t="shared" si="35"/>
        <v>9306.3168000000023</v>
      </c>
      <c r="AK44" s="22">
        <f>Table1[[#This Row],[Total Selling Price / Unit (MVR)]]/Table1[[#This Row],[CNF / Unit
(MVR)]]</f>
        <v>1.9405881474846993</v>
      </c>
      <c r="AL44" s="36">
        <f>Table1[[#This Row],[Total Selling Price / Unit (MVR)]]-(Table1[[#This Row],[GST 8%
(MVR)]]+Table1[[#This Row],[Weighted max
expense (MVR)]])</f>
        <v>85.172596684525388</v>
      </c>
      <c r="AM44" s="37">
        <f>Table1[[#This Row],[Profit / Unit (MVR)]]*Table1[[#This Row],[Qty 
(NOS)]]</f>
        <v>340.69038673810155</v>
      </c>
      <c r="AN44"/>
      <c r="AO44"/>
    </row>
    <row r="45" spans="1:41" x14ac:dyDescent="0.25">
      <c r="A45" t="s">
        <v>80</v>
      </c>
      <c r="B45" s="14" t="s">
        <v>118</v>
      </c>
      <c r="C45" s="4">
        <v>4</v>
      </c>
      <c r="D45" s="7">
        <v>2.58</v>
      </c>
      <c r="E45" s="28">
        <v>10.32</v>
      </c>
      <c r="F45" s="28">
        <f t="shared" si="18"/>
        <v>56.760000000000005</v>
      </c>
      <c r="G45" s="4">
        <f t="shared" si="19"/>
        <v>227.04000000000002</v>
      </c>
      <c r="H45" s="28">
        <v>391.16</v>
      </c>
      <c r="I45" s="28">
        <v>153.12</v>
      </c>
      <c r="J45" s="39">
        <f t="shared" si="20"/>
        <v>192.90464965348181</v>
      </c>
      <c r="K45" s="30">
        <f>(F45/$G$92)*Costs!$B$23</f>
        <v>83.947202198370036</v>
      </c>
      <c r="L45" s="30">
        <f t="shared" si="21"/>
        <v>276.85185185185185</v>
      </c>
      <c r="M45" s="30">
        <f t="shared" si="22"/>
        <v>22.148148148148149</v>
      </c>
      <c r="N45" s="39">
        <v>299</v>
      </c>
      <c r="O45" s="25">
        <f>Table1[[#This Row],[Total Selling Price / Unit (MVR)]]*Table1[[#This Row],[Qty 
(NOS)]]</f>
        <v>1196</v>
      </c>
      <c r="P45" s="64"/>
      <c r="Q45" s="7">
        <v>17.14</v>
      </c>
      <c r="R45" s="28">
        <f t="shared" si="23"/>
        <v>377.08000000000004</v>
      </c>
      <c r="S45" s="28">
        <v>391.16</v>
      </c>
      <c r="T45" s="7">
        <v>17.78</v>
      </c>
      <c r="U45" s="7">
        <v>2.58</v>
      </c>
      <c r="V45" s="69">
        <v>56.760000000000005</v>
      </c>
      <c r="W45" s="28">
        <v>153.12</v>
      </c>
      <c r="X45" s="28">
        <v>299</v>
      </c>
      <c r="Y45" s="25">
        <f t="shared" si="24"/>
        <v>274.16759999999999</v>
      </c>
      <c r="Z45" s="25">
        <f t="shared" si="25"/>
        <v>296.10100800000004</v>
      </c>
      <c r="AA45" s="25">
        <f t="shared" si="26"/>
        <v>1184.4040320000001</v>
      </c>
      <c r="AB45" s="25">
        <f t="shared" si="27"/>
        <v>412.94760000000002</v>
      </c>
      <c r="AC45" s="25">
        <f t="shared" si="28"/>
        <v>445.98340800000005</v>
      </c>
      <c r="AD45" s="25">
        <f t="shared" si="29"/>
        <v>1783.9336320000002</v>
      </c>
      <c r="AE45" s="25">
        <f t="shared" si="30"/>
        <v>391.16</v>
      </c>
      <c r="AF45" s="25">
        <f t="shared" si="31"/>
        <v>422.45280000000008</v>
      </c>
      <c r="AG45" s="25">
        <f t="shared" si="32"/>
        <v>1689.8112000000003</v>
      </c>
      <c r="AH45" s="25">
        <f t="shared" si="33"/>
        <v>589.16000000000008</v>
      </c>
      <c r="AI45" s="25">
        <f t="shared" si="34"/>
        <v>636.29280000000017</v>
      </c>
      <c r="AJ45" s="25">
        <f t="shared" si="35"/>
        <v>2545.1712000000007</v>
      </c>
      <c r="AK45" s="22">
        <f>Table1[[#This Row],[Total Selling Price / Unit (MVR)]]/Table1[[#This Row],[CNF / Unit
(MVR)]]</f>
        <v>5.2677942212825926</v>
      </c>
      <c r="AL45" s="34">
        <f>Table1[[#This Row],[Total Selling Price / Unit (MVR)]]-(Table1[[#This Row],[GST 8%
(MVR)]]+Table1[[#This Row],[Weighted max
expense (MVR)]])</f>
        <v>192.90464965348181</v>
      </c>
      <c r="AM45" s="35">
        <f>Table1[[#This Row],[Profit / Unit (MVR)]]*Table1[[#This Row],[Qty 
(NOS)]]</f>
        <v>771.61859861392725</v>
      </c>
      <c r="AN45"/>
      <c r="AO45"/>
    </row>
    <row r="46" spans="1:41" x14ac:dyDescent="0.25">
      <c r="A46" t="s">
        <v>72</v>
      </c>
      <c r="B46" s="14" t="s">
        <v>118</v>
      </c>
      <c r="C46" s="4">
        <v>4</v>
      </c>
      <c r="D46" s="7">
        <v>3.89</v>
      </c>
      <c r="E46" s="28">
        <v>15.56</v>
      </c>
      <c r="F46" s="28">
        <f t="shared" si="18"/>
        <v>85.58</v>
      </c>
      <c r="G46" s="4">
        <f t="shared" si="19"/>
        <v>342.32</v>
      </c>
      <c r="H46" s="28">
        <v>619.52</v>
      </c>
      <c r="I46" s="28">
        <v>181.06</v>
      </c>
      <c r="J46" s="40">
        <f t="shared" si="20"/>
        <v>243.79881356740157</v>
      </c>
      <c r="K46" s="31">
        <f>(F46/$G$92)*Costs!$B$23</f>
        <v>126.57155680296876</v>
      </c>
      <c r="L46" s="31">
        <f t="shared" si="21"/>
        <v>370.37037037037032</v>
      </c>
      <c r="M46" s="31">
        <f t="shared" si="22"/>
        <v>29.629629629629626</v>
      </c>
      <c r="N46" s="40">
        <v>400</v>
      </c>
      <c r="O46" s="25">
        <f>Table1[[#This Row],[Total Selling Price / Unit (MVR)]]*Table1[[#This Row],[Qty 
(NOS)]]</f>
        <v>1600</v>
      </c>
      <c r="P46" s="64"/>
      <c r="Q46" s="7">
        <v>27.14</v>
      </c>
      <c r="R46" s="28">
        <f t="shared" si="23"/>
        <v>597.08000000000004</v>
      </c>
      <c r="S46" s="28">
        <v>619.52</v>
      </c>
      <c r="T46" s="7">
        <v>28.16</v>
      </c>
      <c r="U46" s="7">
        <v>3.89</v>
      </c>
      <c r="V46" s="70">
        <v>85.58</v>
      </c>
      <c r="W46" s="28">
        <v>181.06</v>
      </c>
      <c r="X46" s="28">
        <v>400</v>
      </c>
      <c r="Y46" s="25">
        <f t="shared" si="24"/>
        <v>434.22719999999998</v>
      </c>
      <c r="Z46" s="25">
        <f t="shared" si="25"/>
        <v>468.96537599999999</v>
      </c>
      <c r="AA46" s="25">
        <f t="shared" si="26"/>
        <v>1875.861504</v>
      </c>
      <c r="AB46" s="25">
        <f t="shared" si="27"/>
        <v>573.0071999999999</v>
      </c>
      <c r="AC46" s="25">
        <f t="shared" si="28"/>
        <v>618.84777599999995</v>
      </c>
      <c r="AD46" s="25">
        <f t="shared" si="29"/>
        <v>2475.3911039999998</v>
      </c>
      <c r="AE46" s="25">
        <f t="shared" si="30"/>
        <v>619.52</v>
      </c>
      <c r="AF46" s="25">
        <f t="shared" si="31"/>
        <v>669.08159999999998</v>
      </c>
      <c r="AG46" s="25">
        <f t="shared" si="32"/>
        <v>2676.3263999999999</v>
      </c>
      <c r="AH46" s="25">
        <f t="shared" si="33"/>
        <v>817.52</v>
      </c>
      <c r="AI46" s="25">
        <f t="shared" si="34"/>
        <v>882.92160000000001</v>
      </c>
      <c r="AJ46" s="25">
        <f t="shared" si="35"/>
        <v>3531.6864</v>
      </c>
      <c r="AK46" s="22">
        <f>Table1[[#This Row],[Total Selling Price / Unit (MVR)]]/Table1[[#This Row],[CNF / Unit
(MVR)]]</f>
        <v>4.6739892498247251</v>
      </c>
      <c r="AL46" s="36">
        <f>Table1[[#This Row],[Total Selling Price / Unit (MVR)]]-(Table1[[#This Row],[GST 8%
(MVR)]]+Table1[[#This Row],[Weighted max
expense (MVR)]])</f>
        <v>243.79881356740162</v>
      </c>
      <c r="AM46" s="37">
        <f>Table1[[#This Row],[Profit / Unit (MVR)]]*Table1[[#This Row],[Qty 
(NOS)]]</f>
        <v>975.19525426960649</v>
      </c>
      <c r="AN46"/>
      <c r="AO46"/>
    </row>
    <row r="47" spans="1:41" x14ac:dyDescent="0.25">
      <c r="A47" t="s">
        <v>31</v>
      </c>
      <c r="B47" s="14" t="s">
        <v>118</v>
      </c>
      <c r="C47" s="4">
        <v>5</v>
      </c>
      <c r="D47" s="7">
        <v>3.89</v>
      </c>
      <c r="E47" s="28">
        <v>27.23</v>
      </c>
      <c r="F47" s="28">
        <f t="shared" si="18"/>
        <v>85.58</v>
      </c>
      <c r="G47" s="4">
        <f t="shared" si="19"/>
        <v>427.9</v>
      </c>
      <c r="H47" s="28">
        <v>619.52</v>
      </c>
      <c r="I47" s="28">
        <v>181.06</v>
      </c>
      <c r="J47" s="39">
        <f t="shared" si="20"/>
        <v>206.76177653036456</v>
      </c>
      <c r="K47" s="30">
        <f>(F47/$G$92)*Costs!$B$23</f>
        <v>126.57155680296876</v>
      </c>
      <c r="L47" s="30">
        <f t="shared" si="21"/>
        <v>333.33333333333331</v>
      </c>
      <c r="M47" s="30">
        <f t="shared" si="22"/>
        <v>26.666666666666664</v>
      </c>
      <c r="N47" s="39">
        <v>360</v>
      </c>
      <c r="O47" s="25">
        <f>Table1[[#This Row],[Total Selling Price / Unit (MVR)]]*Table1[[#This Row],[Qty 
(NOS)]]</f>
        <v>1800</v>
      </c>
      <c r="P47" s="64"/>
      <c r="Q47" s="7">
        <v>27.14</v>
      </c>
      <c r="R47" s="28">
        <f t="shared" si="23"/>
        <v>597.08000000000004</v>
      </c>
      <c r="S47" s="28">
        <v>619.52</v>
      </c>
      <c r="T47" s="7">
        <v>28.16</v>
      </c>
      <c r="U47" s="7">
        <v>3.89</v>
      </c>
      <c r="V47" s="69">
        <v>85.58</v>
      </c>
      <c r="W47" s="28">
        <v>181.06</v>
      </c>
      <c r="X47" s="28">
        <v>360</v>
      </c>
      <c r="Y47" s="25">
        <f t="shared" si="24"/>
        <v>434.22719999999998</v>
      </c>
      <c r="Z47" s="25">
        <f t="shared" si="25"/>
        <v>468.96537599999999</v>
      </c>
      <c r="AA47" s="25">
        <f t="shared" si="26"/>
        <v>2344.8268800000001</v>
      </c>
      <c r="AB47" s="25">
        <f t="shared" si="27"/>
        <v>573.0071999999999</v>
      </c>
      <c r="AC47" s="25">
        <f t="shared" si="28"/>
        <v>618.84777599999995</v>
      </c>
      <c r="AD47" s="25">
        <f t="shared" si="29"/>
        <v>3094.2388799999999</v>
      </c>
      <c r="AE47" s="25">
        <f t="shared" si="30"/>
        <v>619.52</v>
      </c>
      <c r="AF47" s="25">
        <f t="shared" si="31"/>
        <v>669.08159999999998</v>
      </c>
      <c r="AG47" s="25">
        <f t="shared" si="32"/>
        <v>3345.4079999999999</v>
      </c>
      <c r="AH47" s="25">
        <f t="shared" si="33"/>
        <v>817.52</v>
      </c>
      <c r="AI47" s="25">
        <f t="shared" si="34"/>
        <v>882.92160000000001</v>
      </c>
      <c r="AJ47" s="25">
        <f t="shared" si="35"/>
        <v>4414.6080000000002</v>
      </c>
      <c r="AK47" s="22">
        <f>Table1[[#This Row],[Total Selling Price / Unit (MVR)]]/Table1[[#This Row],[CNF / Unit
(MVR)]]</f>
        <v>4.2065903248422529</v>
      </c>
      <c r="AL47" s="34">
        <f>Table1[[#This Row],[Total Selling Price / Unit (MVR)]]-(Table1[[#This Row],[GST 8%
(MVR)]]+Table1[[#This Row],[Weighted max
expense (MVR)]])</f>
        <v>206.76177653036459</v>
      </c>
      <c r="AM47" s="35">
        <f>Table1[[#This Row],[Profit / Unit (MVR)]]*Table1[[#This Row],[Qty 
(NOS)]]</f>
        <v>1033.8088826518228</v>
      </c>
      <c r="AN47"/>
      <c r="AO47"/>
    </row>
    <row r="48" spans="1:41" x14ac:dyDescent="0.25">
      <c r="A48" t="s">
        <v>104</v>
      </c>
      <c r="B48" s="14" t="s">
        <v>118</v>
      </c>
      <c r="C48" s="4">
        <v>4</v>
      </c>
      <c r="D48" s="7">
        <v>3.89</v>
      </c>
      <c r="E48" s="28">
        <v>15.56</v>
      </c>
      <c r="F48" s="28">
        <f t="shared" si="18"/>
        <v>85.58</v>
      </c>
      <c r="G48" s="4">
        <f t="shared" si="19"/>
        <v>342.32</v>
      </c>
      <c r="H48" s="28">
        <v>619.52</v>
      </c>
      <c r="I48" s="28">
        <v>181.06</v>
      </c>
      <c r="J48" s="40">
        <f t="shared" si="20"/>
        <v>294.72473949332749</v>
      </c>
      <c r="K48" s="31">
        <f>(F48/$G$92)*Costs!$B$23</f>
        <v>126.57155680296876</v>
      </c>
      <c r="L48" s="31">
        <f t="shared" si="21"/>
        <v>421.29629629629625</v>
      </c>
      <c r="M48" s="31">
        <f t="shared" si="22"/>
        <v>33.703703703703702</v>
      </c>
      <c r="N48" s="40">
        <v>455</v>
      </c>
      <c r="O48" s="25">
        <f>Table1[[#This Row],[Total Selling Price / Unit (MVR)]]*Table1[[#This Row],[Qty 
(NOS)]]</f>
        <v>1820</v>
      </c>
      <c r="P48" s="64"/>
      <c r="Q48" s="7">
        <v>27.14</v>
      </c>
      <c r="R48" s="28">
        <f t="shared" si="23"/>
        <v>597.08000000000004</v>
      </c>
      <c r="S48" s="28">
        <v>619.52</v>
      </c>
      <c r="T48" s="7">
        <v>28.16</v>
      </c>
      <c r="U48" s="7">
        <v>3.89</v>
      </c>
      <c r="V48" s="70">
        <v>85.58</v>
      </c>
      <c r="W48" s="28">
        <v>181.06</v>
      </c>
      <c r="X48" s="28">
        <v>455</v>
      </c>
      <c r="Y48" s="25">
        <f t="shared" si="24"/>
        <v>434.22719999999998</v>
      </c>
      <c r="Z48" s="25">
        <f t="shared" si="25"/>
        <v>468.96537599999999</v>
      </c>
      <c r="AA48" s="25">
        <f t="shared" si="26"/>
        <v>1875.861504</v>
      </c>
      <c r="AB48" s="25">
        <f t="shared" si="27"/>
        <v>573.0071999999999</v>
      </c>
      <c r="AC48" s="25">
        <f t="shared" si="28"/>
        <v>618.84777599999995</v>
      </c>
      <c r="AD48" s="25">
        <f t="shared" si="29"/>
        <v>2475.3911039999998</v>
      </c>
      <c r="AE48" s="25">
        <f t="shared" si="30"/>
        <v>619.52</v>
      </c>
      <c r="AF48" s="25">
        <f t="shared" si="31"/>
        <v>669.08159999999998</v>
      </c>
      <c r="AG48" s="25">
        <f t="shared" si="32"/>
        <v>2676.3263999999999</v>
      </c>
      <c r="AH48" s="25">
        <f t="shared" si="33"/>
        <v>817.52</v>
      </c>
      <c r="AI48" s="25">
        <f t="shared" si="34"/>
        <v>882.92160000000001</v>
      </c>
      <c r="AJ48" s="25">
        <f t="shared" si="35"/>
        <v>3531.6864</v>
      </c>
      <c r="AK48" s="22">
        <f>Table1[[#This Row],[Total Selling Price / Unit (MVR)]]/Table1[[#This Row],[CNF / Unit
(MVR)]]</f>
        <v>5.3166627716756256</v>
      </c>
      <c r="AL48" s="36">
        <f>Table1[[#This Row],[Total Selling Price / Unit (MVR)]]-(Table1[[#This Row],[GST 8%
(MVR)]]+Table1[[#This Row],[Weighted max
expense (MVR)]])</f>
        <v>294.72473949332755</v>
      </c>
      <c r="AM48" s="37">
        <f>Table1[[#This Row],[Profit / Unit (MVR)]]*Table1[[#This Row],[Qty 
(NOS)]]</f>
        <v>1178.8989579733102</v>
      </c>
      <c r="AN48"/>
      <c r="AO48"/>
    </row>
    <row r="49" spans="1:41" x14ac:dyDescent="0.25">
      <c r="A49" t="s">
        <v>32</v>
      </c>
      <c r="B49" s="14" t="s">
        <v>118</v>
      </c>
      <c r="C49" s="4">
        <v>7</v>
      </c>
      <c r="D49" s="7">
        <v>3.89</v>
      </c>
      <c r="E49" s="28">
        <v>27.23</v>
      </c>
      <c r="F49" s="28">
        <f t="shared" si="18"/>
        <v>85.58</v>
      </c>
      <c r="G49" s="4">
        <f t="shared" si="19"/>
        <v>599.05999999999995</v>
      </c>
      <c r="H49" s="28">
        <v>619.52</v>
      </c>
      <c r="I49" s="28">
        <v>181.06</v>
      </c>
      <c r="J49" s="39">
        <f t="shared" si="20"/>
        <v>206.76177653036456</v>
      </c>
      <c r="K49" s="30">
        <f>(F49/$G$92)*Costs!$B$23</f>
        <v>126.57155680296876</v>
      </c>
      <c r="L49" s="30">
        <f t="shared" si="21"/>
        <v>333.33333333333331</v>
      </c>
      <c r="M49" s="30">
        <f t="shared" si="22"/>
        <v>26.666666666666664</v>
      </c>
      <c r="N49" s="39">
        <v>360</v>
      </c>
      <c r="O49" s="25">
        <f>Table1[[#This Row],[Total Selling Price / Unit (MVR)]]*Table1[[#This Row],[Qty 
(NOS)]]</f>
        <v>2520</v>
      </c>
      <c r="P49" s="64"/>
      <c r="Q49" s="7">
        <v>27.14</v>
      </c>
      <c r="R49" s="28">
        <f t="shared" si="23"/>
        <v>597.08000000000004</v>
      </c>
      <c r="S49" s="28">
        <v>619.52</v>
      </c>
      <c r="T49" s="7">
        <v>28.16</v>
      </c>
      <c r="U49" s="7">
        <v>3.89</v>
      </c>
      <c r="V49" s="69">
        <v>85.58</v>
      </c>
      <c r="W49" s="28">
        <v>181.06</v>
      </c>
      <c r="X49" s="28">
        <v>360</v>
      </c>
      <c r="Y49" s="25">
        <f t="shared" si="24"/>
        <v>434.22719999999998</v>
      </c>
      <c r="Z49" s="25">
        <f t="shared" si="25"/>
        <v>468.96537599999999</v>
      </c>
      <c r="AA49" s="25">
        <f t="shared" si="26"/>
        <v>3282.7576319999998</v>
      </c>
      <c r="AB49" s="25">
        <f t="shared" si="27"/>
        <v>573.0071999999999</v>
      </c>
      <c r="AC49" s="25">
        <f t="shared" si="28"/>
        <v>618.84777599999995</v>
      </c>
      <c r="AD49" s="25">
        <f t="shared" si="29"/>
        <v>4331.934432</v>
      </c>
      <c r="AE49" s="25">
        <f t="shared" si="30"/>
        <v>619.52</v>
      </c>
      <c r="AF49" s="25">
        <f t="shared" si="31"/>
        <v>669.08159999999998</v>
      </c>
      <c r="AG49" s="25">
        <f t="shared" si="32"/>
        <v>4683.5712000000003</v>
      </c>
      <c r="AH49" s="25">
        <f t="shared" si="33"/>
        <v>817.52</v>
      </c>
      <c r="AI49" s="25">
        <f t="shared" si="34"/>
        <v>882.92160000000001</v>
      </c>
      <c r="AJ49" s="25">
        <f t="shared" si="35"/>
        <v>6180.4512000000004</v>
      </c>
      <c r="AK49" s="22">
        <f>Table1[[#This Row],[Total Selling Price / Unit (MVR)]]/Table1[[#This Row],[CNF / Unit
(MVR)]]</f>
        <v>4.2065903248422529</v>
      </c>
      <c r="AL49" s="34">
        <f>Table1[[#This Row],[Total Selling Price / Unit (MVR)]]-(Table1[[#This Row],[GST 8%
(MVR)]]+Table1[[#This Row],[Weighted max
expense (MVR)]])</f>
        <v>206.76177653036459</v>
      </c>
      <c r="AM49" s="35">
        <f>Table1[[#This Row],[Profit / Unit (MVR)]]*Table1[[#This Row],[Qty 
(NOS)]]</f>
        <v>1447.3324357125521</v>
      </c>
      <c r="AN49"/>
      <c r="AO49"/>
    </row>
    <row r="50" spans="1:41" x14ac:dyDescent="0.25">
      <c r="A50" t="s">
        <v>106</v>
      </c>
      <c r="B50" s="14" t="s">
        <v>118</v>
      </c>
      <c r="C50" s="4">
        <v>4</v>
      </c>
      <c r="D50" s="7">
        <v>9.0399999999999991</v>
      </c>
      <c r="E50" s="28">
        <v>36.159999999999997</v>
      </c>
      <c r="F50" s="28">
        <f t="shared" si="18"/>
        <v>198.88</v>
      </c>
      <c r="G50" s="4">
        <f t="shared" si="19"/>
        <v>795.52</v>
      </c>
      <c r="H50" s="28">
        <v>570.68000000000006</v>
      </c>
      <c r="I50" s="28">
        <v>453.41999999999996</v>
      </c>
      <c r="J50" s="40">
        <f t="shared" si="20"/>
        <v>150.30385999744249</v>
      </c>
      <c r="K50" s="31">
        <f>(F50/$G$92)*Costs!$B$23</f>
        <v>294.14058444700191</v>
      </c>
      <c r="L50" s="31">
        <f t="shared" si="21"/>
        <v>444.4444444444444</v>
      </c>
      <c r="M50" s="31">
        <f t="shared" si="22"/>
        <v>35.55555555555555</v>
      </c>
      <c r="N50" s="40">
        <v>480</v>
      </c>
      <c r="O50" s="25">
        <f>Table1[[#This Row],[Total Selling Price / Unit (MVR)]]*Table1[[#This Row],[Qty 
(NOS)]]</f>
        <v>1920</v>
      </c>
      <c r="P50" s="64"/>
      <c r="Q50" s="7">
        <v>25</v>
      </c>
      <c r="R50" s="28">
        <f t="shared" si="23"/>
        <v>550</v>
      </c>
      <c r="S50" s="28">
        <v>570.68000000000006</v>
      </c>
      <c r="T50" s="7">
        <v>25.94</v>
      </c>
      <c r="U50" s="7">
        <v>9.0399999999999991</v>
      </c>
      <c r="V50" s="70">
        <v>198.88</v>
      </c>
      <c r="W50" s="28">
        <v>453.41999999999996</v>
      </c>
      <c r="X50" s="28">
        <v>480</v>
      </c>
      <c r="Y50" s="25">
        <f t="shared" si="24"/>
        <v>399.9948</v>
      </c>
      <c r="Z50" s="25">
        <f t="shared" si="25"/>
        <v>431.99438400000003</v>
      </c>
      <c r="AA50" s="25">
        <f t="shared" si="26"/>
        <v>1727.9775360000001</v>
      </c>
      <c r="AB50" s="25">
        <f t="shared" si="27"/>
        <v>538.77479999999991</v>
      </c>
      <c r="AC50" s="25">
        <f t="shared" si="28"/>
        <v>581.87678399999993</v>
      </c>
      <c r="AD50" s="25">
        <f t="shared" si="29"/>
        <v>2327.5071359999997</v>
      </c>
      <c r="AE50" s="25">
        <f t="shared" si="30"/>
        <v>570.68000000000006</v>
      </c>
      <c r="AF50" s="25">
        <f t="shared" si="31"/>
        <v>616.33440000000007</v>
      </c>
      <c r="AG50" s="25">
        <f t="shared" si="32"/>
        <v>2465.3376000000003</v>
      </c>
      <c r="AH50" s="25">
        <f t="shared" si="33"/>
        <v>768.68</v>
      </c>
      <c r="AI50" s="25">
        <f t="shared" si="34"/>
        <v>830.17439999999999</v>
      </c>
      <c r="AJ50" s="25">
        <f t="shared" si="35"/>
        <v>3320.6976</v>
      </c>
      <c r="AK50" s="22">
        <f>Table1[[#This Row],[Total Selling Price / Unit (MVR)]]/Table1[[#This Row],[CNF / Unit
(MVR)]]</f>
        <v>2.4135156878519712</v>
      </c>
      <c r="AL50" s="36">
        <f>Table1[[#This Row],[Total Selling Price / Unit (MVR)]]-(Table1[[#This Row],[GST 8%
(MVR)]]+Table1[[#This Row],[Weighted max
expense (MVR)]])</f>
        <v>150.30385999744254</v>
      </c>
      <c r="AM50" s="37">
        <f>Table1[[#This Row],[Profit / Unit (MVR)]]*Table1[[#This Row],[Qty 
(NOS)]]</f>
        <v>601.21543998977018</v>
      </c>
      <c r="AN50"/>
      <c r="AO50"/>
    </row>
    <row r="51" spans="1:41" x14ac:dyDescent="0.25">
      <c r="A51" t="s">
        <v>107</v>
      </c>
      <c r="B51" s="14" t="s">
        <v>118</v>
      </c>
      <c r="C51" s="4">
        <v>4</v>
      </c>
      <c r="D51" s="7">
        <v>9.94</v>
      </c>
      <c r="E51" s="28">
        <v>39.76</v>
      </c>
      <c r="F51" s="28">
        <f t="shared" si="18"/>
        <v>218.67999999999998</v>
      </c>
      <c r="G51" s="4">
        <f t="shared" si="19"/>
        <v>874.71999999999991</v>
      </c>
      <c r="H51" s="28">
        <v>1450.9</v>
      </c>
      <c r="I51" s="28">
        <v>381.91999999999996</v>
      </c>
      <c r="J51" s="39">
        <f t="shared" si="20"/>
        <v>46.945878179750991</v>
      </c>
      <c r="K51" s="30">
        <f>(F51/$G$92)*Costs!$B$23</f>
        <v>323.42449219061933</v>
      </c>
      <c r="L51" s="30">
        <f t="shared" si="21"/>
        <v>370.37037037037032</v>
      </c>
      <c r="M51" s="30">
        <f t="shared" si="22"/>
        <v>29.629629629629626</v>
      </c>
      <c r="N51" s="39">
        <v>400</v>
      </c>
      <c r="O51" s="25">
        <f>Table1[[#This Row],[Total Selling Price / Unit (MVR)]]*Table1[[#This Row],[Qty 
(NOS)]]</f>
        <v>1600</v>
      </c>
      <c r="P51" s="64"/>
      <c r="Q51" s="7">
        <v>63.57</v>
      </c>
      <c r="R51" s="28">
        <f t="shared" si="23"/>
        <v>1398.54</v>
      </c>
      <c r="S51" s="28">
        <v>1450.9</v>
      </c>
      <c r="T51" s="7">
        <v>65.95</v>
      </c>
      <c r="U51" s="7">
        <v>9.94</v>
      </c>
      <c r="V51" s="69">
        <v>218.67999999999998</v>
      </c>
      <c r="W51" s="28">
        <v>381.91999999999996</v>
      </c>
      <c r="X51" s="28">
        <v>400</v>
      </c>
      <c r="Y51" s="25">
        <f t="shared" si="24"/>
        <v>1016.9490000000001</v>
      </c>
      <c r="Z51" s="25">
        <f t="shared" si="25"/>
        <v>1098.30492</v>
      </c>
      <c r="AA51" s="25">
        <f t="shared" si="26"/>
        <v>4393.2196800000002</v>
      </c>
      <c r="AB51" s="25">
        <f t="shared" si="27"/>
        <v>1155.729</v>
      </c>
      <c r="AC51" s="25">
        <f t="shared" si="28"/>
        <v>1248.1873200000002</v>
      </c>
      <c r="AD51" s="25">
        <f t="shared" si="29"/>
        <v>4992.7492800000009</v>
      </c>
      <c r="AE51" s="25">
        <f t="shared" si="30"/>
        <v>1450.9</v>
      </c>
      <c r="AF51" s="25">
        <f t="shared" si="31"/>
        <v>1566.9720000000002</v>
      </c>
      <c r="AG51" s="25">
        <f t="shared" si="32"/>
        <v>6267.8880000000008</v>
      </c>
      <c r="AH51" s="25">
        <f t="shared" si="33"/>
        <v>1648.9</v>
      </c>
      <c r="AI51" s="25">
        <f t="shared" si="34"/>
        <v>1780.8120000000001</v>
      </c>
      <c r="AJ51" s="25">
        <f t="shared" si="35"/>
        <v>7123.2480000000005</v>
      </c>
      <c r="AK51" s="22">
        <f>Table1[[#This Row],[Total Selling Price / Unit (MVR)]]/Table1[[#This Row],[CNF / Unit
(MVR)]]</f>
        <v>1.8291567587342237</v>
      </c>
      <c r="AL51" s="34">
        <f>Table1[[#This Row],[Total Selling Price / Unit (MVR)]]-(Table1[[#This Row],[GST 8%
(MVR)]]+Table1[[#This Row],[Weighted max
expense (MVR)]])</f>
        <v>46.945878179751048</v>
      </c>
      <c r="AM51" s="35">
        <f>Table1[[#This Row],[Profit / Unit (MVR)]]*Table1[[#This Row],[Qty 
(NOS)]]</f>
        <v>187.78351271900419</v>
      </c>
      <c r="AN51"/>
      <c r="AO51"/>
    </row>
    <row r="52" spans="1:41" x14ac:dyDescent="0.25">
      <c r="A52" t="s">
        <v>79</v>
      </c>
      <c r="B52" s="14" t="s">
        <v>118</v>
      </c>
      <c r="C52" s="4">
        <v>4</v>
      </c>
      <c r="D52" s="7">
        <v>9.94</v>
      </c>
      <c r="E52" s="28">
        <v>39.76</v>
      </c>
      <c r="F52" s="28">
        <f t="shared" si="18"/>
        <v>218.67999999999998</v>
      </c>
      <c r="G52" s="4">
        <f t="shared" si="19"/>
        <v>874.71999999999991</v>
      </c>
      <c r="H52" s="28">
        <v>1450.9</v>
      </c>
      <c r="I52" s="28">
        <v>339.46</v>
      </c>
      <c r="J52" s="40">
        <f t="shared" si="20"/>
        <v>46.945878179750991</v>
      </c>
      <c r="K52" s="31">
        <f>(F52/$G$92)*Costs!$B$23</f>
        <v>323.42449219061933</v>
      </c>
      <c r="L52" s="31">
        <f t="shared" si="21"/>
        <v>370.37037037037032</v>
      </c>
      <c r="M52" s="31">
        <f t="shared" si="22"/>
        <v>29.629629629629626</v>
      </c>
      <c r="N52" s="40">
        <v>400</v>
      </c>
      <c r="O52" s="25">
        <f>Table1[[#This Row],[Total Selling Price / Unit (MVR)]]*Table1[[#This Row],[Qty 
(NOS)]]</f>
        <v>1600</v>
      </c>
      <c r="P52" s="64"/>
      <c r="Q52" s="7">
        <v>63.57</v>
      </c>
      <c r="R52" s="28">
        <f t="shared" si="23"/>
        <v>1398.54</v>
      </c>
      <c r="S52" s="28">
        <v>1450.9</v>
      </c>
      <c r="T52" s="7">
        <v>65.95</v>
      </c>
      <c r="U52" s="7">
        <v>9.94</v>
      </c>
      <c r="V52" s="70">
        <v>218.67999999999998</v>
      </c>
      <c r="W52" s="28">
        <v>339.46</v>
      </c>
      <c r="X52" s="28">
        <v>400</v>
      </c>
      <c r="Y52" s="25">
        <f t="shared" si="24"/>
        <v>1016.9490000000001</v>
      </c>
      <c r="Z52" s="25">
        <f t="shared" si="25"/>
        <v>1098.30492</v>
      </c>
      <c r="AA52" s="25">
        <f t="shared" si="26"/>
        <v>4393.2196800000002</v>
      </c>
      <c r="AB52" s="25">
        <f t="shared" si="27"/>
        <v>1155.729</v>
      </c>
      <c r="AC52" s="25">
        <f t="shared" si="28"/>
        <v>1248.1873200000002</v>
      </c>
      <c r="AD52" s="25">
        <f t="shared" si="29"/>
        <v>4992.7492800000009</v>
      </c>
      <c r="AE52" s="25">
        <f t="shared" si="30"/>
        <v>1450.9</v>
      </c>
      <c r="AF52" s="25">
        <f t="shared" si="31"/>
        <v>1566.9720000000002</v>
      </c>
      <c r="AG52" s="25">
        <f t="shared" si="32"/>
        <v>6267.8880000000008</v>
      </c>
      <c r="AH52" s="25">
        <f t="shared" si="33"/>
        <v>1648.9</v>
      </c>
      <c r="AI52" s="25">
        <f t="shared" si="34"/>
        <v>1780.8120000000001</v>
      </c>
      <c r="AJ52" s="25">
        <f t="shared" si="35"/>
        <v>7123.2480000000005</v>
      </c>
      <c r="AK52" s="22">
        <f>Table1[[#This Row],[Total Selling Price / Unit (MVR)]]/Table1[[#This Row],[CNF / Unit
(MVR)]]</f>
        <v>1.8291567587342237</v>
      </c>
      <c r="AL52" s="36">
        <f>Table1[[#This Row],[Total Selling Price / Unit (MVR)]]-(Table1[[#This Row],[GST 8%
(MVR)]]+Table1[[#This Row],[Weighted max
expense (MVR)]])</f>
        <v>46.945878179751048</v>
      </c>
      <c r="AM52" s="37">
        <f>Table1[[#This Row],[Profit / Unit (MVR)]]*Table1[[#This Row],[Qty 
(NOS)]]</f>
        <v>187.78351271900419</v>
      </c>
      <c r="AN52"/>
      <c r="AO52"/>
    </row>
    <row r="53" spans="1:41" x14ac:dyDescent="0.25">
      <c r="A53" t="s">
        <v>35</v>
      </c>
      <c r="B53" s="14" t="s">
        <v>118</v>
      </c>
      <c r="C53" s="4">
        <v>7</v>
      </c>
      <c r="D53" s="7">
        <v>1.04</v>
      </c>
      <c r="E53" s="28">
        <v>7.28</v>
      </c>
      <c r="F53" s="28">
        <f t="shared" si="18"/>
        <v>22.880000000000003</v>
      </c>
      <c r="G53" s="4">
        <f t="shared" si="19"/>
        <v>160.16000000000003</v>
      </c>
      <c r="H53" s="28">
        <v>195.58</v>
      </c>
      <c r="I53" s="28">
        <v>77.66</v>
      </c>
      <c r="J53" s="39">
        <f t="shared" si="20"/>
        <v>86.531188088856865</v>
      </c>
      <c r="K53" s="30">
        <f>(F53/$G$92)*Costs!$B$23</f>
        <v>33.839182281513501</v>
      </c>
      <c r="L53" s="30">
        <f t="shared" si="21"/>
        <v>120.37037037037037</v>
      </c>
      <c r="M53" s="30">
        <f t="shared" si="22"/>
        <v>9.6296296296296298</v>
      </c>
      <c r="N53" s="39">
        <v>130</v>
      </c>
      <c r="O53" s="25">
        <f>Table1[[#This Row],[Total Selling Price / Unit (MVR)]]*Table1[[#This Row],[Qty 
(NOS)]]</f>
        <v>910</v>
      </c>
      <c r="P53" s="64"/>
      <c r="Q53" s="7">
        <v>8.57</v>
      </c>
      <c r="R53" s="28">
        <f t="shared" si="23"/>
        <v>188.54000000000002</v>
      </c>
      <c r="S53" s="28">
        <v>195.58</v>
      </c>
      <c r="T53" s="7">
        <v>8.89</v>
      </c>
      <c r="U53" s="7">
        <v>1.04</v>
      </c>
      <c r="V53" s="69">
        <v>22.880000000000003</v>
      </c>
      <c r="W53" s="28">
        <v>77.66</v>
      </c>
      <c r="X53" s="28">
        <v>130</v>
      </c>
      <c r="Y53" s="25">
        <f t="shared" si="24"/>
        <v>137.0838</v>
      </c>
      <c r="Z53" s="25">
        <f t="shared" si="25"/>
        <v>148.05050400000002</v>
      </c>
      <c r="AA53" s="25">
        <f t="shared" si="26"/>
        <v>1036.3535280000001</v>
      </c>
      <c r="AB53" s="25">
        <f t="shared" si="27"/>
        <v>275.86380000000003</v>
      </c>
      <c r="AC53" s="25">
        <f t="shared" si="28"/>
        <v>297.93290400000006</v>
      </c>
      <c r="AD53" s="25">
        <f t="shared" si="29"/>
        <v>2085.5303280000003</v>
      </c>
      <c r="AE53" s="25">
        <f t="shared" si="30"/>
        <v>195.58</v>
      </c>
      <c r="AF53" s="25">
        <f t="shared" si="31"/>
        <v>211.22640000000004</v>
      </c>
      <c r="AG53" s="25">
        <f t="shared" si="32"/>
        <v>1478.5848000000003</v>
      </c>
      <c r="AH53" s="25">
        <f t="shared" si="33"/>
        <v>393.58000000000004</v>
      </c>
      <c r="AI53" s="25">
        <f t="shared" si="34"/>
        <v>425.06640000000004</v>
      </c>
      <c r="AJ53" s="25">
        <f t="shared" si="35"/>
        <v>2975.4648000000002</v>
      </c>
      <c r="AK53" s="22">
        <f>Table1[[#This Row],[Total Selling Price / Unit (MVR)]]/Table1[[#This Row],[CNF / Unit
(MVR)]]</f>
        <v>5.6818181818181808</v>
      </c>
      <c r="AL53" s="34">
        <f>Table1[[#This Row],[Total Selling Price / Unit (MVR)]]-(Table1[[#This Row],[GST 8%
(MVR)]]+Table1[[#This Row],[Weighted max
expense (MVR)]])</f>
        <v>86.531188088856865</v>
      </c>
      <c r="AM53" s="35">
        <f>Table1[[#This Row],[Profit / Unit (MVR)]]*Table1[[#This Row],[Qty 
(NOS)]]</f>
        <v>605.71831662199804</v>
      </c>
      <c r="AN53"/>
      <c r="AO53"/>
    </row>
    <row r="54" spans="1:41" x14ac:dyDescent="0.25">
      <c r="A54" t="s">
        <v>34</v>
      </c>
      <c r="B54" s="14" t="s">
        <v>118</v>
      </c>
      <c r="C54" s="4">
        <v>7</v>
      </c>
      <c r="D54" s="7">
        <v>4.7699999999999996</v>
      </c>
      <c r="E54" s="28">
        <v>33.39</v>
      </c>
      <c r="F54" s="28">
        <f t="shared" si="18"/>
        <v>104.94</v>
      </c>
      <c r="G54" s="4">
        <f t="shared" si="19"/>
        <v>734.57999999999993</v>
      </c>
      <c r="H54" s="28">
        <v>782.54</v>
      </c>
      <c r="I54" s="28">
        <v>216.48</v>
      </c>
      <c r="J54" s="40">
        <f t="shared" si="20"/>
        <v>261.46195562549417</v>
      </c>
      <c r="K54" s="31">
        <f>(F54/$G$92)*Costs!$B$23</f>
        <v>155.20471104117246</v>
      </c>
      <c r="L54" s="31">
        <f t="shared" si="21"/>
        <v>416.66666666666663</v>
      </c>
      <c r="M54" s="31">
        <f t="shared" si="22"/>
        <v>33.333333333333329</v>
      </c>
      <c r="N54" s="40">
        <v>450</v>
      </c>
      <c r="O54" s="25">
        <f>Table1[[#This Row],[Total Selling Price / Unit (MVR)]]*Table1[[#This Row],[Qty 
(NOS)]]</f>
        <v>3150</v>
      </c>
      <c r="P54" s="64"/>
      <c r="Q54" s="7">
        <v>34.29</v>
      </c>
      <c r="R54" s="28">
        <f t="shared" si="23"/>
        <v>754.38</v>
      </c>
      <c r="S54" s="28">
        <v>782.54</v>
      </c>
      <c r="T54" s="7">
        <v>35.57</v>
      </c>
      <c r="U54" s="7">
        <v>4.7699999999999996</v>
      </c>
      <c r="V54" s="70">
        <v>104.94</v>
      </c>
      <c r="W54" s="28">
        <v>216.48</v>
      </c>
      <c r="X54" s="28">
        <v>450</v>
      </c>
      <c r="Y54" s="25">
        <f t="shared" si="24"/>
        <v>548.48940000000005</v>
      </c>
      <c r="Z54" s="25">
        <f t="shared" si="25"/>
        <v>592.36855200000014</v>
      </c>
      <c r="AA54" s="25">
        <f t="shared" si="26"/>
        <v>4146.5798640000012</v>
      </c>
      <c r="AB54" s="25">
        <f t="shared" si="27"/>
        <v>687.26940000000002</v>
      </c>
      <c r="AC54" s="25">
        <f t="shared" si="28"/>
        <v>742.2509520000001</v>
      </c>
      <c r="AD54" s="25">
        <f t="shared" si="29"/>
        <v>5195.7566640000005</v>
      </c>
      <c r="AE54" s="25">
        <f t="shared" si="30"/>
        <v>782.54</v>
      </c>
      <c r="AF54" s="25">
        <f t="shared" si="31"/>
        <v>845.14319999999998</v>
      </c>
      <c r="AG54" s="25">
        <f t="shared" si="32"/>
        <v>5916.0023999999994</v>
      </c>
      <c r="AH54" s="25">
        <f t="shared" si="33"/>
        <v>980.54</v>
      </c>
      <c r="AI54" s="25">
        <f t="shared" si="34"/>
        <v>1058.9832000000001</v>
      </c>
      <c r="AJ54" s="25">
        <f t="shared" si="35"/>
        <v>7412.8824000000004</v>
      </c>
      <c r="AK54" s="22">
        <f>Table1[[#This Row],[Total Selling Price / Unit (MVR)]]/Table1[[#This Row],[CNF / Unit
(MVR)]]</f>
        <v>4.2881646655231558</v>
      </c>
      <c r="AL54" s="36">
        <f>Table1[[#This Row],[Total Selling Price / Unit (MVR)]]-(Table1[[#This Row],[GST 8%
(MVR)]]+Table1[[#This Row],[Weighted max
expense (MVR)]])</f>
        <v>261.46195562549423</v>
      </c>
      <c r="AM54" s="37">
        <f>Table1[[#This Row],[Profit / Unit (MVR)]]*Table1[[#This Row],[Qty 
(NOS)]]</f>
        <v>1830.2336893784595</v>
      </c>
      <c r="AN54"/>
      <c r="AO54"/>
    </row>
    <row r="55" spans="1:41" x14ac:dyDescent="0.25">
      <c r="A55" t="s">
        <v>36</v>
      </c>
      <c r="B55" s="14" t="s">
        <v>118</v>
      </c>
      <c r="C55" s="4">
        <v>7</v>
      </c>
      <c r="D55" s="7">
        <v>1.04</v>
      </c>
      <c r="E55" s="28">
        <v>7.28</v>
      </c>
      <c r="F55" s="28">
        <f t="shared" si="18"/>
        <v>22.880000000000003</v>
      </c>
      <c r="G55" s="4">
        <f t="shared" si="19"/>
        <v>160.16000000000003</v>
      </c>
      <c r="H55" s="28">
        <v>195.58</v>
      </c>
      <c r="I55" s="28">
        <v>77.66</v>
      </c>
      <c r="J55" s="39">
        <f t="shared" si="20"/>
        <v>86.531188088856865</v>
      </c>
      <c r="K55" s="30">
        <f>(F55/$G$92)*Costs!$B$23</f>
        <v>33.839182281513501</v>
      </c>
      <c r="L55" s="30">
        <f t="shared" si="21"/>
        <v>120.37037037037037</v>
      </c>
      <c r="M55" s="30">
        <f t="shared" si="22"/>
        <v>9.6296296296296298</v>
      </c>
      <c r="N55" s="39">
        <v>130</v>
      </c>
      <c r="O55" s="25">
        <f>Table1[[#This Row],[Total Selling Price / Unit (MVR)]]*Table1[[#This Row],[Qty 
(NOS)]]</f>
        <v>910</v>
      </c>
      <c r="P55" s="64"/>
      <c r="Q55" s="7">
        <v>8.57</v>
      </c>
      <c r="R55" s="28">
        <f t="shared" si="23"/>
        <v>188.54000000000002</v>
      </c>
      <c r="S55" s="28">
        <v>195.58</v>
      </c>
      <c r="T55" s="7">
        <v>8.89</v>
      </c>
      <c r="U55" s="7">
        <v>1.04</v>
      </c>
      <c r="V55" s="69">
        <v>22.880000000000003</v>
      </c>
      <c r="W55" s="28">
        <v>77.66</v>
      </c>
      <c r="X55" s="28">
        <v>130</v>
      </c>
      <c r="Y55" s="25">
        <f t="shared" si="24"/>
        <v>137.0838</v>
      </c>
      <c r="Z55" s="25">
        <f t="shared" si="25"/>
        <v>148.05050400000002</v>
      </c>
      <c r="AA55" s="25">
        <f t="shared" si="26"/>
        <v>1036.3535280000001</v>
      </c>
      <c r="AB55" s="25">
        <f t="shared" si="27"/>
        <v>275.86380000000003</v>
      </c>
      <c r="AC55" s="25">
        <f t="shared" si="28"/>
        <v>297.93290400000006</v>
      </c>
      <c r="AD55" s="25">
        <f t="shared" si="29"/>
        <v>2085.5303280000003</v>
      </c>
      <c r="AE55" s="25">
        <f t="shared" si="30"/>
        <v>195.58</v>
      </c>
      <c r="AF55" s="25">
        <f t="shared" si="31"/>
        <v>211.22640000000004</v>
      </c>
      <c r="AG55" s="25">
        <f t="shared" si="32"/>
        <v>1478.5848000000003</v>
      </c>
      <c r="AH55" s="25">
        <f t="shared" si="33"/>
        <v>393.58000000000004</v>
      </c>
      <c r="AI55" s="25">
        <f t="shared" si="34"/>
        <v>425.06640000000004</v>
      </c>
      <c r="AJ55" s="25">
        <f t="shared" si="35"/>
        <v>2975.4648000000002</v>
      </c>
      <c r="AK55" s="22">
        <f>Table1[[#This Row],[Total Selling Price / Unit (MVR)]]/Table1[[#This Row],[CNF / Unit
(MVR)]]</f>
        <v>5.6818181818181808</v>
      </c>
      <c r="AL55" s="34">
        <f>Table1[[#This Row],[Total Selling Price / Unit (MVR)]]-(Table1[[#This Row],[GST 8%
(MVR)]]+Table1[[#This Row],[Weighted max
expense (MVR)]])</f>
        <v>86.531188088856865</v>
      </c>
      <c r="AM55" s="35">
        <f>Table1[[#This Row],[Profit / Unit (MVR)]]*Table1[[#This Row],[Qty 
(NOS)]]</f>
        <v>605.71831662199804</v>
      </c>
      <c r="AN55"/>
      <c r="AO55"/>
    </row>
    <row r="56" spans="1:41" x14ac:dyDescent="0.25">
      <c r="A56" t="s">
        <v>33</v>
      </c>
      <c r="B56" s="14" t="s">
        <v>118</v>
      </c>
      <c r="C56" s="4">
        <v>7</v>
      </c>
      <c r="D56" s="7">
        <v>4.7699999999999996</v>
      </c>
      <c r="E56" s="28">
        <v>33.39</v>
      </c>
      <c r="F56" s="28">
        <f t="shared" si="18"/>
        <v>104.94</v>
      </c>
      <c r="G56" s="4">
        <f t="shared" si="19"/>
        <v>734.57999999999993</v>
      </c>
      <c r="H56" s="28">
        <v>782.54</v>
      </c>
      <c r="I56" s="28">
        <v>216.48</v>
      </c>
      <c r="J56" s="40">
        <f t="shared" si="20"/>
        <v>261.46195562549417</v>
      </c>
      <c r="K56" s="31">
        <f>(F56/$G$92)*Costs!$B$23</f>
        <v>155.20471104117246</v>
      </c>
      <c r="L56" s="31">
        <f t="shared" si="21"/>
        <v>416.66666666666663</v>
      </c>
      <c r="M56" s="31">
        <f t="shared" si="22"/>
        <v>33.333333333333329</v>
      </c>
      <c r="N56" s="40">
        <v>450</v>
      </c>
      <c r="O56" s="25">
        <f>Table1[[#This Row],[Total Selling Price / Unit (MVR)]]*Table1[[#This Row],[Qty 
(NOS)]]</f>
        <v>3150</v>
      </c>
      <c r="P56" s="64"/>
      <c r="Q56" s="7">
        <v>34.29</v>
      </c>
      <c r="R56" s="28">
        <f t="shared" si="23"/>
        <v>754.38</v>
      </c>
      <c r="S56" s="28">
        <v>782.54</v>
      </c>
      <c r="T56" s="7">
        <v>35.57</v>
      </c>
      <c r="U56" s="7">
        <v>4.7699999999999996</v>
      </c>
      <c r="V56" s="70">
        <v>104.94</v>
      </c>
      <c r="W56" s="28">
        <v>216.48</v>
      </c>
      <c r="X56" s="28">
        <v>450</v>
      </c>
      <c r="Y56" s="25">
        <f t="shared" si="24"/>
        <v>548.48940000000005</v>
      </c>
      <c r="Z56" s="25">
        <f t="shared" si="25"/>
        <v>592.36855200000014</v>
      </c>
      <c r="AA56" s="25">
        <f t="shared" si="26"/>
        <v>4146.5798640000012</v>
      </c>
      <c r="AB56" s="25">
        <f t="shared" si="27"/>
        <v>687.26940000000002</v>
      </c>
      <c r="AC56" s="25">
        <f t="shared" si="28"/>
        <v>742.2509520000001</v>
      </c>
      <c r="AD56" s="25">
        <f t="shared" si="29"/>
        <v>5195.7566640000005</v>
      </c>
      <c r="AE56" s="25">
        <f t="shared" si="30"/>
        <v>782.54</v>
      </c>
      <c r="AF56" s="25">
        <f t="shared" si="31"/>
        <v>845.14319999999998</v>
      </c>
      <c r="AG56" s="25">
        <f t="shared" si="32"/>
        <v>5916.0023999999994</v>
      </c>
      <c r="AH56" s="25">
        <f t="shared" si="33"/>
        <v>980.54</v>
      </c>
      <c r="AI56" s="25">
        <f t="shared" si="34"/>
        <v>1058.9832000000001</v>
      </c>
      <c r="AJ56" s="25">
        <f t="shared" si="35"/>
        <v>7412.8824000000004</v>
      </c>
      <c r="AK56" s="22">
        <f>Table1[[#This Row],[Total Selling Price / Unit (MVR)]]/Table1[[#This Row],[CNF / Unit
(MVR)]]</f>
        <v>4.2881646655231558</v>
      </c>
      <c r="AL56" s="36">
        <f>Table1[[#This Row],[Total Selling Price / Unit (MVR)]]-(Table1[[#This Row],[GST 8%
(MVR)]]+Table1[[#This Row],[Weighted max
expense (MVR)]])</f>
        <v>261.46195562549423</v>
      </c>
      <c r="AM56" s="37">
        <f>Table1[[#This Row],[Profit / Unit (MVR)]]*Table1[[#This Row],[Qty 
(NOS)]]</f>
        <v>1830.2336893784595</v>
      </c>
      <c r="AN56"/>
      <c r="AO56"/>
    </row>
    <row r="57" spans="1:41" x14ac:dyDescent="0.25">
      <c r="A57" t="s">
        <v>105</v>
      </c>
      <c r="B57" s="14" t="s">
        <v>118</v>
      </c>
      <c r="C57" s="4">
        <v>4</v>
      </c>
      <c r="D57" s="7">
        <v>1.04</v>
      </c>
      <c r="E57" s="28">
        <v>4.16</v>
      </c>
      <c r="F57" s="28">
        <f t="shared" si="18"/>
        <v>22.880000000000003</v>
      </c>
      <c r="G57" s="4">
        <f t="shared" si="19"/>
        <v>91.52000000000001</v>
      </c>
      <c r="H57" s="28">
        <v>195.58</v>
      </c>
      <c r="I57" s="28">
        <v>77.66</v>
      </c>
      <c r="J57" s="39">
        <f t="shared" si="20"/>
        <v>86.531188088856865</v>
      </c>
      <c r="K57" s="30">
        <f>(F57/$G$92)*Costs!$B$23</f>
        <v>33.839182281513501</v>
      </c>
      <c r="L57" s="30">
        <f t="shared" si="21"/>
        <v>120.37037037037037</v>
      </c>
      <c r="M57" s="30">
        <f t="shared" si="22"/>
        <v>9.6296296296296298</v>
      </c>
      <c r="N57" s="39">
        <v>130</v>
      </c>
      <c r="O57" s="25">
        <f>Table1[[#This Row],[Total Selling Price / Unit (MVR)]]*Table1[[#This Row],[Qty 
(NOS)]]</f>
        <v>520</v>
      </c>
      <c r="P57" s="64"/>
      <c r="Q57" s="7">
        <v>8.57</v>
      </c>
      <c r="R57" s="28">
        <f t="shared" si="23"/>
        <v>188.54000000000002</v>
      </c>
      <c r="S57" s="28">
        <v>195.58</v>
      </c>
      <c r="T57" s="7">
        <v>8.89</v>
      </c>
      <c r="U57" s="7">
        <v>1.04</v>
      </c>
      <c r="V57" s="69">
        <v>22.880000000000003</v>
      </c>
      <c r="W57" s="28">
        <v>77.66</v>
      </c>
      <c r="X57" s="28">
        <v>130</v>
      </c>
      <c r="Y57" s="25">
        <f t="shared" si="24"/>
        <v>137.0838</v>
      </c>
      <c r="Z57" s="25">
        <f t="shared" si="25"/>
        <v>148.05050400000002</v>
      </c>
      <c r="AA57" s="25">
        <f t="shared" si="26"/>
        <v>592.20201600000007</v>
      </c>
      <c r="AB57" s="25">
        <f t="shared" si="27"/>
        <v>275.86380000000003</v>
      </c>
      <c r="AC57" s="25">
        <f t="shared" si="28"/>
        <v>297.93290400000006</v>
      </c>
      <c r="AD57" s="25">
        <f t="shared" si="29"/>
        <v>1191.7316160000003</v>
      </c>
      <c r="AE57" s="25">
        <f t="shared" si="30"/>
        <v>195.58</v>
      </c>
      <c r="AF57" s="25">
        <f t="shared" si="31"/>
        <v>211.22640000000004</v>
      </c>
      <c r="AG57" s="25">
        <f t="shared" si="32"/>
        <v>844.90560000000016</v>
      </c>
      <c r="AH57" s="25">
        <f t="shared" si="33"/>
        <v>393.58000000000004</v>
      </c>
      <c r="AI57" s="25">
        <f t="shared" si="34"/>
        <v>425.06640000000004</v>
      </c>
      <c r="AJ57" s="25">
        <f t="shared" si="35"/>
        <v>1700.2656000000002</v>
      </c>
      <c r="AK57" s="22">
        <f>Table1[[#This Row],[Total Selling Price / Unit (MVR)]]/Table1[[#This Row],[CNF / Unit
(MVR)]]</f>
        <v>5.6818181818181808</v>
      </c>
      <c r="AL57" s="34">
        <f>Table1[[#This Row],[Total Selling Price / Unit (MVR)]]-(Table1[[#This Row],[GST 8%
(MVR)]]+Table1[[#This Row],[Weighted max
expense (MVR)]])</f>
        <v>86.531188088856865</v>
      </c>
      <c r="AM57" s="35">
        <f>Table1[[#This Row],[Profit / Unit (MVR)]]*Table1[[#This Row],[Qty 
(NOS)]]</f>
        <v>346.12475235542746</v>
      </c>
      <c r="AN57"/>
      <c r="AO57"/>
    </row>
    <row r="58" spans="1:41" x14ac:dyDescent="0.25">
      <c r="A58" t="s">
        <v>77</v>
      </c>
      <c r="B58" s="14" t="s">
        <v>118</v>
      </c>
      <c r="C58" s="4">
        <v>4</v>
      </c>
      <c r="D58" s="7">
        <v>1.04</v>
      </c>
      <c r="E58" s="28">
        <v>4.16</v>
      </c>
      <c r="F58" s="28">
        <f t="shared" si="18"/>
        <v>22.880000000000003</v>
      </c>
      <c r="G58" s="4">
        <f t="shared" si="19"/>
        <v>91.52000000000001</v>
      </c>
      <c r="H58" s="28">
        <v>195.58</v>
      </c>
      <c r="I58" s="28">
        <v>77.66</v>
      </c>
      <c r="J58" s="40">
        <f t="shared" si="20"/>
        <v>86.531188088856865</v>
      </c>
      <c r="K58" s="31">
        <f>(F58/$G$92)*Costs!$B$23</f>
        <v>33.839182281513501</v>
      </c>
      <c r="L58" s="31">
        <f t="shared" si="21"/>
        <v>120.37037037037037</v>
      </c>
      <c r="M58" s="31">
        <f t="shared" si="22"/>
        <v>9.6296296296296298</v>
      </c>
      <c r="N58" s="40">
        <v>130</v>
      </c>
      <c r="O58" s="25">
        <f>Table1[[#This Row],[Total Selling Price / Unit (MVR)]]*Table1[[#This Row],[Qty 
(NOS)]]</f>
        <v>520</v>
      </c>
      <c r="P58" s="64"/>
      <c r="Q58" s="7">
        <v>8.57</v>
      </c>
      <c r="R58" s="28">
        <f t="shared" si="23"/>
        <v>188.54000000000002</v>
      </c>
      <c r="S58" s="28">
        <v>195.58</v>
      </c>
      <c r="T58" s="7">
        <v>8.89</v>
      </c>
      <c r="U58" s="7">
        <v>1.04</v>
      </c>
      <c r="V58" s="70">
        <v>22.880000000000003</v>
      </c>
      <c r="W58" s="28">
        <v>77.66</v>
      </c>
      <c r="X58" s="28">
        <v>130</v>
      </c>
      <c r="Y58" s="25">
        <f t="shared" si="24"/>
        <v>137.0838</v>
      </c>
      <c r="Z58" s="25">
        <f t="shared" si="25"/>
        <v>148.05050400000002</v>
      </c>
      <c r="AA58" s="25">
        <f t="shared" si="26"/>
        <v>592.20201600000007</v>
      </c>
      <c r="AB58" s="25">
        <f t="shared" si="27"/>
        <v>275.86380000000003</v>
      </c>
      <c r="AC58" s="25">
        <f t="shared" si="28"/>
        <v>297.93290400000006</v>
      </c>
      <c r="AD58" s="25">
        <f t="shared" si="29"/>
        <v>1191.7316160000003</v>
      </c>
      <c r="AE58" s="25">
        <f t="shared" si="30"/>
        <v>195.58</v>
      </c>
      <c r="AF58" s="25">
        <f t="shared" si="31"/>
        <v>211.22640000000004</v>
      </c>
      <c r="AG58" s="25">
        <f t="shared" si="32"/>
        <v>844.90560000000016</v>
      </c>
      <c r="AH58" s="25">
        <f t="shared" si="33"/>
        <v>393.58000000000004</v>
      </c>
      <c r="AI58" s="25">
        <f t="shared" si="34"/>
        <v>425.06640000000004</v>
      </c>
      <c r="AJ58" s="25">
        <f t="shared" si="35"/>
        <v>1700.2656000000002</v>
      </c>
      <c r="AK58" s="22">
        <f>Table1[[#This Row],[Total Selling Price / Unit (MVR)]]/Table1[[#This Row],[CNF / Unit
(MVR)]]</f>
        <v>5.6818181818181808</v>
      </c>
      <c r="AL58" s="36">
        <f>Table1[[#This Row],[Total Selling Price / Unit (MVR)]]-(Table1[[#This Row],[GST 8%
(MVR)]]+Table1[[#This Row],[Weighted max
expense (MVR)]])</f>
        <v>86.531188088856865</v>
      </c>
      <c r="AM58" s="37">
        <f>Table1[[#This Row],[Profit / Unit (MVR)]]*Table1[[#This Row],[Qty 
(NOS)]]</f>
        <v>346.12475235542746</v>
      </c>
      <c r="AN58"/>
      <c r="AO58"/>
    </row>
    <row r="59" spans="1:41" x14ac:dyDescent="0.25">
      <c r="A59" t="s">
        <v>74</v>
      </c>
      <c r="B59" s="14" t="s">
        <v>118</v>
      </c>
      <c r="C59" s="4">
        <v>4</v>
      </c>
      <c r="D59" s="7">
        <v>4.7699999999999996</v>
      </c>
      <c r="E59" s="28">
        <v>19.079999999999998</v>
      </c>
      <c r="F59" s="28">
        <f t="shared" si="18"/>
        <v>104.94</v>
      </c>
      <c r="G59" s="4">
        <f t="shared" si="19"/>
        <v>419.76</v>
      </c>
      <c r="H59" s="28">
        <v>782.54</v>
      </c>
      <c r="I59" s="28">
        <v>216.48</v>
      </c>
      <c r="J59" s="39">
        <f t="shared" si="20"/>
        <v>261.46195562549417</v>
      </c>
      <c r="K59" s="30">
        <f>(F59/$G$92)*Costs!$B$23</f>
        <v>155.20471104117246</v>
      </c>
      <c r="L59" s="30">
        <f t="shared" si="21"/>
        <v>416.66666666666663</v>
      </c>
      <c r="M59" s="30">
        <f t="shared" si="22"/>
        <v>33.333333333333329</v>
      </c>
      <c r="N59" s="39">
        <v>450</v>
      </c>
      <c r="O59" s="25">
        <f>Table1[[#This Row],[Total Selling Price / Unit (MVR)]]*Table1[[#This Row],[Qty 
(NOS)]]</f>
        <v>1800</v>
      </c>
      <c r="P59" s="64"/>
      <c r="Q59" s="7">
        <v>34.29</v>
      </c>
      <c r="R59" s="28">
        <f t="shared" si="23"/>
        <v>754.38</v>
      </c>
      <c r="S59" s="28">
        <v>782.54</v>
      </c>
      <c r="T59" s="7">
        <v>35.57</v>
      </c>
      <c r="U59" s="7">
        <v>4.7699999999999996</v>
      </c>
      <c r="V59" s="69">
        <v>104.94</v>
      </c>
      <c r="W59" s="28">
        <v>216.48</v>
      </c>
      <c r="X59" s="28">
        <v>450</v>
      </c>
      <c r="Y59" s="25">
        <f t="shared" si="24"/>
        <v>548.48940000000005</v>
      </c>
      <c r="Z59" s="25">
        <f t="shared" si="25"/>
        <v>592.36855200000014</v>
      </c>
      <c r="AA59" s="25">
        <f t="shared" si="26"/>
        <v>2369.4742080000005</v>
      </c>
      <c r="AB59" s="25">
        <f t="shared" si="27"/>
        <v>687.26940000000002</v>
      </c>
      <c r="AC59" s="25">
        <f t="shared" si="28"/>
        <v>742.2509520000001</v>
      </c>
      <c r="AD59" s="25">
        <f t="shared" si="29"/>
        <v>2969.0038080000004</v>
      </c>
      <c r="AE59" s="25">
        <f t="shared" si="30"/>
        <v>782.54</v>
      </c>
      <c r="AF59" s="25">
        <f t="shared" si="31"/>
        <v>845.14319999999998</v>
      </c>
      <c r="AG59" s="25">
        <f t="shared" si="32"/>
        <v>3380.5727999999999</v>
      </c>
      <c r="AH59" s="25">
        <f t="shared" si="33"/>
        <v>980.54</v>
      </c>
      <c r="AI59" s="25">
        <f t="shared" si="34"/>
        <v>1058.9832000000001</v>
      </c>
      <c r="AJ59" s="25">
        <f t="shared" si="35"/>
        <v>4235.9328000000005</v>
      </c>
      <c r="AK59" s="22">
        <f>Table1[[#This Row],[Total Selling Price / Unit (MVR)]]/Table1[[#This Row],[CNF / Unit
(MVR)]]</f>
        <v>4.2881646655231558</v>
      </c>
      <c r="AL59" s="34">
        <f>Table1[[#This Row],[Total Selling Price / Unit (MVR)]]-(Table1[[#This Row],[GST 8%
(MVR)]]+Table1[[#This Row],[Weighted max
expense (MVR)]])</f>
        <v>261.46195562549423</v>
      </c>
      <c r="AM59" s="35">
        <f>Table1[[#This Row],[Profit / Unit (MVR)]]*Table1[[#This Row],[Qty 
(NOS)]]</f>
        <v>1045.8478225019769</v>
      </c>
      <c r="AN59"/>
      <c r="AO59"/>
    </row>
    <row r="60" spans="1:41" x14ac:dyDescent="0.25">
      <c r="A60" t="s">
        <v>78</v>
      </c>
      <c r="B60" s="14" t="s">
        <v>118</v>
      </c>
      <c r="C60" s="4">
        <v>4</v>
      </c>
      <c r="D60" s="7">
        <v>1.04</v>
      </c>
      <c r="E60" s="28">
        <v>4.16</v>
      </c>
      <c r="F60" s="28">
        <f t="shared" si="18"/>
        <v>22.880000000000003</v>
      </c>
      <c r="G60" s="4">
        <f t="shared" si="19"/>
        <v>91.52000000000001</v>
      </c>
      <c r="H60" s="28">
        <v>195.58</v>
      </c>
      <c r="I60" s="28">
        <v>77.66</v>
      </c>
      <c r="J60" s="40">
        <f t="shared" si="20"/>
        <v>86.531188088856865</v>
      </c>
      <c r="K60" s="31">
        <f>(F60/$G$92)*Costs!$B$23</f>
        <v>33.839182281513501</v>
      </c>
      <c r="L60" s="31">
        <f t="shared" si="21"/>
        <v>120.37037037037037</v>
      </c>
      <c r="M60" s="31">
        <f t="shared" si="22"/>
        <v>9.6296296296296298</v>
      </c>
      <c r="N60" s="40">
        <v>130</v>
      </c>
      <c r="O60" s="25">
        <f>Table1[[#This Row],[Total Selling Price / Unit (MVR)]]*Table1[[#This Row],[Qty 
(NOS)]]</f>
        <v>520</v>
      </c>
      <c r="P60" s="64"/>
      <c r="Q60" s="7">
        <v>8.57</v>
      </c>
      <c r="R60" s="28">
        <f t="shared" si="23"/>
        <v>188.54000000000002</v>
      </c>
      <c r="S60" s="28">
        <v>195.58</v>
      </c>
      <c r="T60" s="7">
        <v>8.89</v>
      </c>
      <c r="U60" s="7">
        <v>1.04</v>
      </c>
      <c r="V60" s="70">
        <v>22.880000000000003</v>
      </c>
      <c r="W60" s="28">
        <v>77.66</v>
      </c>
      <c r="X60" s="28">
        <v>130</v>
      </c>
      <c r="Y60" s="25">
        <f t="shared" si="24"/>
        <v>137.0838</v>
      </c>
      <c r="Z60" s="25">
        <f t="shared" si="25"/>
        <v>148.05050400000002</v>
      </c>
      <c r="AA60" s="25">
        <f t="shared" si="26"/>
        <v>592.20201600000007</v>
      </c>
      <c r="AB60" s="25">
        <f t="shared" si="27"/>
        <v>275.86380000000003</v>
      </c>
      <c r="AC60" s="25">
        <f t="shared" si="28"/>
        <v>297.93290400000006</v>
      </c>
      <c r="AD60" s="25">
        <f t="shared" si="29"/>
        <v>1191.7316160000003</v>
      </c>
      <c r="AE60" s="25">
        <f t="shared" si="30"/>
        <v>195.58</v>
      </c>
      <c r="AF60" s="25">
        <f t="shared" si="31"/>
        <v>211.22640000000004</v>
      </c>
      <c r="AG60" s="25">
        <f t="shared" si="32"/>
        <v>844.90560000000016</v>
      </c>
      <c r="AH60" s="25">
        <f t="shared" si="33"/>
        <v>393.58000000000004</v>
      </c>
      <c r="AI60" s="25">
        <f t="shared" si="34"/>
        <v>425.06640000000004</v>
      </c>
      <c r="AJ60" s="25">
        <f t="shared" si="35"/>
        <v>1700.2656000000002</v>
      </c>
      <c r="AK60" s="22">
        <f>Table1[[#This Row],[Total Selling Price / Unit (MVR)]]/Table1[[#This Row],[CNF / Unit
(MVR)]]</f>
        <v>5.6818181818181808</v>
      </c>
      <c r="AL60" s="36">
        <f>Table1[[#This Row],[Total Selling Price / Unit (MVR)]]-(Table1[[#This Row],[GST 8%
(MVR)]]+Table1[[#This Row],[Weighted max
expense (MVR)]])</f>
        <v>86.531188088856865</v>
      </c>
      <c r="AM60" s="37">
        <f>Table1[[#This Row],[Profit / Unit (MVR)]]*Table1[[#This Row],[Qty 
(NOS)]]</f>
        <v>346.12475235542746</v>
      </c>
      <c r="AN60"/>
      <c r="AO60"/>
    </row>
    <row r="61" spans="1:41" x14ac:dyDescent="0.25">
      <c r="A61" t="s">
        <v>75</v>
      </c>
      <c r="B61" s="14" t="s">
        <v>118</v>
      </c>
      <c r="C61" s="4">
        <v>4</v>
      </c>
      <c r="D61" s="7">
        <v>4.7699999999999996</v>
      </c>
      <c r="E61" s="28">
        <v>19.079999999999998</v>
      </c>
      <c r="F61" s="28">
        <f t="shared" si="18"/>
        <v>104.94</v>
      </c>
      <c r="G61" s="4">
        <f t="shared" si="19"/>
        <v>419.76</v>
      </c>
      <c r="H61" s="28">
        <v>782.54</v>
      </c>
      <c r="I61" s="28">
        <v>216.48</v>
      </c>
      <c r="J61" s="39">
        <f t="shared" si="20"/>
        <v>261.46195562549417</v>
      </c>
      <c r="K61" s="30">
        <f>(F61/$G$92)*Costs!$B$23</f>
        <v>155.20471104117246</v>
      </c>
      <c r="L61" s="30">
        <f t="shared" si="21"/>
        <v>416.66666666666663</v>
      </c>
      <c r="M61" s="30">
        <f t="shared" si="22"/>
        <v>33.333333333333329</v>
      </c>
      <c r="N61" s="39">
        <v>450</v>
      </c>
      <c r="O61" s="25">
        <f>Table1[[#This Row],[Total Selling Price / Unit (MVR)]]*Table1[[#This Row],[Qty 
(NOS)]]</f>
        <v>1800</v>
      </c>
      <c r="P61" s="64"/>
      <c r="Q61" s="7">
        <v>34.29</v>
      </c>
      <c r="R61" s="28">
        <f t="shared" si="23"/>
        <v>754.38</v>
      </c>
      <c r="S61" s="28">
        <v>782.54</v>
      </c>
      <c r="T61" s="7">
        <v>35.57</v>
      </c>
      <c r="U61" s="7">
        <v>4.7699999999999996</v>
      </c>
      <c r="V61" s="69">
        <v>104.94</v>
      </c>
      <c r="W61" s="28">
        <v>216.48</v>
      </c>
      <c r="X61" s="28">
        <v>450</v>
      </c>
      <c r="Y61" s="25">
        <f t="shared" si="24"/>
        <v>548.48940000000005</v>
      </c>
      <c r="Z61" s="25">
        <f t="shared" si="25"/>
        <v>592.36855200000014</v>
      </c>
      <c r="AA61" s="25">
        <f t="shared" si="26"/>
        <v>2369.4742080000005</v>
      </c>
      <c r="AB61" s="25">
        <f t="shared" si="27"/>
        <v>687.26940000000002</v>
      </c>
      <c r="AC61" s="25">
        <f t="shared" si="28"/>
        <v>742.2509520000001</v>
      </c>
      <c r="AD61" s="25">
        <f t="shared" si="29"/>
        <v>2969.0038080000004</v>
      </c>
      <c r="AE61" s="25">
        <f t="shared" si="30"/>
        <v>782.54</v>
      </c>
      <c r="AF61" s="25">
        <f t="shared" si="31"/>
        <v>845.14319999999998</v>
      </c>
      <c r="AG61" s="25">
        <f t="shared" si="32"/>
        <v>3380.5727999999999</v>
      </c>
      <c r="AH61" s="25">
        <f t="shared" si="33"/>
        <v>980.54</v>
      </c>
      <c r="AI61" s="25">
        <f t="shared" si="34"/>
        <v>1058.9832000000001</v>
      </c>
      <c r="AJ61" s="25">
        <f t="shared" si="35"/>
        <v>4235.9328000000005</v>
      </c>
      <c r="AK61" s="22">
        <f>Table1[[#This Row],[Total Selling Price / Unit (MVR)]]/Table1[[#This Row],[CNF / Unit
(MVR)]]</f>
        <v>4.2881646655231558</v>
      </c>
      <c r="AL61" s="34">
        <f>Table1[[#This Row],[Total Selling Price / Unit (MVR)]]-(Table1[[#This Row],[GST 8%
(MVR)]]+Table1[[#This Row],[Weighted max
expense (MVR)]])</f>
        <v>261.46195562549423</v>
      </c>
      <c r="AM61" s="35">
        <f>Table1[[#This Row],[Profit / Unit (MVR)]]*Table1[[#This Row],[Qty 
(NOS)]]</f>
        <v>1045.8478225019769</v>
      </c>
      <c r="AN61"/>
      <c r="AO61"/>
    </row>
    <row r="62" spans="1:41" x14ac:dyDescent="0.25">
      <c r="A62" t="s">
        <v>73</v>
      </c>
      <c r="B62" s="14" t="s">
        <v>118</v>
      </c>
      <c r="C62" s="4">
        <v>4</v>
      </c>
      <c r="D62" s="7">
        <v>4.7699999999999996</v>
      </c>
      <c r="E62" s="28">
        <v>19.079999999999998</v>
      </c>
      <c r="F62" s="28">
        <f t="shared" si="18"/>
        <v>104.94</v>
      </c>
      <c r="G62" s="4">
        <f t="shared" si="19"/>
        <v>419.76</v>
      </c>
      <c r="H62" s="28">
        <v>782.54</v>
      </c>
      <c r="I62" s="28">
        <v>216.48</v>
      </c>
      <c r="J62" s="40">
        <f t="shared" si="20"/>
        <v>261.46195562549417</v>
      </c>
      <c r="K62" s="31">
        <f>(F62/$G$92)*Costs!$B$23</f>
        <v>155.20471104117246</v>
      </c>
      <c r="L62" s="31">
        <f t="shared" si="21"/>
        <v>416.66666666666663</v>
      </c>
      <c r="M62" s="31">
        <f t="shared" si="22"/>
        <v>33.333333333333329</v>
      </c>
      <c r="N62" s="40">
        <v>450</v>
      </c>
      <c r="O62" s="25">
        <f>Table1[[#This Row],[Total Selling Price / Unit (MVR)]]*Table1[[#This Row],[Qty 
(NOS)]]</f>
        <v>1800</v>
      </c>
      <c r="P62" s="64"/>
      <c r="Q62" s="7">
        <v>34.29</v>
      </c>
      <c r="R62" s="28">
        <f t="shared" si="23"/>
        <v>754.38</v>
      </c>
      <c r="S62" s="28">
        <v>782.54</v>
      </c>
      <c r="T62" s="7">
        <v>35.57</v>
      </c>
      <c r="U62" s="7">
        <v>4.7699999999999996</v>
      </c>
      <c r="V62" s="70">
        <v>104.94</v>
      </c>
      <c r="W62" s="28">
        <v>216.48</v>
      </c>
      <c r="X62" s="28">
        <v>450</v>
      </c>
      <c r="Y62" s="25">
        <f t="shared" si="24"/>
        <v>548.48940000000005</v>
      </c>
      <c r="Z62" s="25">
        <f t="shared" si="25"/>
        <v>592.36855200000014</v>
      </c>
      <c r="AA62" s="25">
        <f t="shared" si="26"/>
        <v>2369.4742080000005</v>
      </c>
      <c r="AB62" s="25">
        <f t="shared" si="27"/>
        <v>687.26940000000002</v>
      </c>
      <c r="AC62" s="25">
        <f t="shared" si="28"/>
        <v>742.2509520000001</v>
      </c>
      <c r="AD62" s="25">
        <f t="shared" si="29"/>
        <v>2969.0038080000004</v>
      </c>
      <c r="AE62" s="25">
        <f t="shared" si="30"/>
        <v>782.54</v>
      </c>
      <c r="AF62" s="25">
        <f t="shared" si="31"/>
        <v>845.14319999999998</v>
      </c>
      <c r="AG62" s="25">
        <f t="shared" si="32"/>
        <v>3380.5727999999999</v>
      </c>
      <c r="AH62" s="25">
        <f t="shared" si="33"/>
        <v>980.54</v>
      </c>
      <c r="AI62" s="25">
        <f t="shared" si="34"/>
        <v>1058.9832000000001</v>
      </c>
      <c r="AJ62" s="25">
        <f t="shared" si="35"/>
        <v>4235.9328000000005</v>
      </c>
      <c r="AK62" s="22">
        <f>Table1[[#This Row],[Total Selling Price / Unit (MVR)]]/Table1[[#This Row],[CNF / Unit
(MVR)]]</f>
        <v>4.2881646655231558</v>
      </c>
      <c r="AL62" s="36">
        <f>Table1[[#This Row],[Total Selling Price / Unit (MVR)]]-(Table1[[#This Row],[GST 8%
(MVR)]]+Table1[[#This Row],[Weighted max
expense (MVR)]])</f>
        <v>261.46195562549423</v>
      </c>
      <c r="AM62" s="37">
        <f>Table1[[#This Row],[Profit / Unit (MVR)]]*Table1[[#This Row],[Qty 
(NOS)]]</f>
        <v>1045.8478225019769</v>
      </c>
      <c r="AN62"/>
      <c r="AO62"/>
    </row>
    <row r="63" spans="1:41" x14ac:dyDescent="0.25">
      <c r="A63" t="s">
        <v>76</v>
      </c>
      <c r="B63" s="14" t="s">
        <v>118</v>
      </c>
      <c r="C63" s="4">
        <v>4</v>
      </c>
      <c r="D63" s="7">
        <v>7.72</v>
      </c>
      <c r="E63" s="28">
        <v>30.88</v>
      </c>
      <c r="F63" s="28">
        <f t="shared" si="18"/>
        <v>169.84</v>
      </c>
      <c r="G63" s="4">
        <f t="shared" si="19"/>
        <v>679.36</v>
      </c>
      <c r="H63" s="28">
        <v>1271.5999999999999</v>
      </c>
      <c r="I63" s="28">
        <v>319</v>
      </c>
      <c r="J63" s="39">
        <f t="shared" si="20"/>
        <v>142.32766542882214</v>
      </c>
      <c r="K63" s="30">
        <f>(F63/$G$92)*Costs!$B$23</f>
        <v>251.19085308969633</v>
      </c>
      <c r="L63" s="30">
        <f t="shared" si="21"/>
        <v>393.51851851851848</v>
      </c>
      <c r="M63" s="30">
        <f t="shared" si="22"/>
        <v>31.481481481481477</v>
      </c>
      <c r="N63" s="39">
        <v>425</v>
      </c>
      <c r="O63" s="25">
        <f>Table1[[#This Row],[Total Selling Price / Unit (MVR)]]*Table1[[#This Row],[Qty 
(NOS)]]</f>
        <v>1700</v>
      </c>
      <c r="P63" s="64"/>
      <c r="Q63" s="7">
        <v>55.71</v>
      </c>
      <c r="R63" s="28">
        <f t="shared" si="23"/>
        <v>1225.6200000000001</v>
      </c>
      <c r="S63" s="28">
        <v>1271.5999999999999</v>
      </c>
      <c r="T63" s="7">
        <v>57.8</v>
      </c>
      <c r="U63" s="7">
        <v>7.72</v>
      </c>
      <c r="V63" s="69">
        <v>169.84</v>
      </c>
      <c r="W63" s="28">
        <v>319</v>
      </c>
      <c r="X63" s="28">
        <v>425</v>
      </c>
      <c r="Y63" s="25">
        <f t="shared" si="24"/>
        <v>891.27599999999995</v>
      </c>
      <c r="Z63" s="25">
        <f t="shared" si="25"/>
        <v>962.57808</v>
      </c>
      <c r="AA63" s="25">
        <f t="shared" si="26"/>
        <v>3850.31232</v>
      </c>
      <c r="AB63" s="25">
        <f t="shared" si="27"/>
        <v>1030.056</v>
      </c>
      <c r="AC63" s="25">
        <f t="shared" si="28"/>
        <v>1112.4604800000002</v>
      </c>
      <c r="AD63" s="25">
        <f t="shared" si="29"/>
        <v>4449.8419200000008</v>
      </c>
      <c r="AE63" s="25">
        <f t="shared" si="30"/>
        <v>1271.5999999999999</v>
      </c>
      <c r="AF63" s="25">
        <f t="shared" si="31"/>
        <v>1373.328</v>
      </c>
      <c r="AG63" s="25">
        <f t="shared" si="32"/>
        <v>5493.3119999999999</v>
      </c>
      <c r="AH63" s="25">
        <f t="shared" si="33"/>
        <v>1469.6</v>
      </c>
      <c r="AI63" s="25">
        <f t="shared" si="34"/>
        <v>1587.1679999999999</v>
      </c>
      <c r="AJ63" s="25">
        <f t="shared" si="35"/>
        <v>6348.6719999999996</v>
      </c>
      <c r="AK63" s="22">
        <f>Table1[[#This Row],[Total Selling Price / Unit (MVR)]]/Table1[[#This Row],[CNF / Unit
(MVR)]]</f>
        <v>2.5023551577955723</v>
      </c>
      <c r="AL63" s="34">
        <f>Table1[[#This Row],[Total Selling Price / Unit (MVR)]]-(Table1[[#This Row],[GST 8%
(MVR)]]+Table1[[#This Row],[Weighted max
expense (MVR)]])</f>
        <v>142.32766542882217</v>
      </c>
      <c r="AM63" s="35">
        <f>Table1[[#This Row],[Profit / Unit (MVR)]]*Table1[[#This Row],[Qty 
(NOS)]]</f>
        <v>569.31066171528869</v>
      </c>
      <c r="AN63"/>
      <c r="AO63"/>
    </row>
    <row r="64" spans="1:41" x14ac:dyDescent="0.25">
      <c r="A64" t="s">
        <v>46</v>
      </c>
      <c r="B64" s="18" t="s">
        <v>122</v>
      </c>
      <c r="C64" s="4">
        <v>4</v>
      </c>
      <c r="D64" s="7">
        <v>4.3</v>
      </c>
      <c r="E64" s="28">
        <v>17.2</v>
      </c>
      <c r="F64" s="28">
        <f t="shared" si="18"/>
        <v>94.6</v>
      </c>
      <c r="G64" s="4">
        <f t="shared" si="19"/>
        <v>378.4</v>
      </c>
      <c r="H64" s="28">
        <v>53.900000000000006</v>
      </c>
      <c r="I64" s="28">
        <v>335.71999999999997</v>
      </c>
      <c r="J64" s="40">
        <f t="shared" si="20"/>
        <v>137.86577411382774</v>
      </c>
      <c r="K64" s="31">
        <f>(F64/$G$92)*Costs!$B$23</f>
        <v>139.91200366395003</v>
      </c>
      <c r="L64" s="31">
        <f t="shared" si="21"/>
        <v>277.77777777777777</v>
      </c>
      <c r="M64" s="31">
        <f t="shared" si="22"/>
        <v>22.222222222222221</v>
      </c>
      <c r="N64" s="40">
        <v>300</v>
      </c>
      <c r="O64" s="25">
        <f>Table1[[#This Row],[Total Selling Price / Unit (MVR)]]*Table1[[#This Row],[Qty 
(NOS)]]</f>
        <v>1200</v>
      </c>
      <c r="P64" s="64"/>
      <c r="Q64" s="7">
        <v>3.93</v>
      </c>
      <c r="R64" s="28">
        <f t="shared" si="23"/>
        <v>86.460000000000008</v>
      </c>
      <c r="S64" s="28">
        <v>53.900000000000006</v>
      </c>
      <c r="T64" s="7">
        <v>4.08</v>
      </c>
      <c r="U64" s="7">
        <v>4.3</v>
      </c>
      <c r="V64" s="70">
        <v>94.6</v>
      </c>
      <c r="W64" s="28">
        <v>335.71999999999997</v>
      </c>
      <c r="X64" s="28">
        <v>300</v>
      </c>
      <c r="Y64" s="25">
        <f t="shared" si="24"/>
        <v>62.913600000000002</v>
      </c>
      <c r="Z64" s="25">
        <f t="shared" si="25"/>
        <v>67.946688000000009</v>
      </c>
      <c r="AA64" s="25">
        <f t="shared" si="26"/>
        <v>271.78675200000004</v>
      </c>
      <c r="AB64" s="25">
        <f t="shared" si="27"/>
        <v>201.6936</v>
      </c>
      <c r="AC64" s="25">
        <f t="shared" si="28"/>
        <v>217.82908800000001</v>
      </c>
      <c r="AD64" s="25">
        <f t="shared" si="29"/>
        <v>871.31635200000005</v>
      </c>
      <c r="AE64" s="25">
        <f t="shared" si="30"/>
        <v>89.76</v>
      </c>
      <c r="AF64" s="25">
        <f t="shared" si="31"/>
        <v>96.94080000000001</v>
      </c>
      <c r="AG64" s="25">
        <f t="shared" si="32"/>
        <v>387.76320000000004</v>
      </c>
      <c r="AH64" s="25">
        <f t="shared" si="33"/>
        <v>287.76</v>
      </c>
      <c r="AI64" s="25">
        <f t="shared" si="34"/>
        <v>310.7808</v>
      </c>
      <c r="AJ64" s="25">
        <f t="shared" si="35"/>
        <v>1243.1232</v>
      </c>
      <c r="AK64" s="22">
        <f>Table1[[#This Row],[Total Selling Price / Unit (MVR)]]/Table1[[#This Row],[CNF / Unit
(MVR)]]</f>
        <v>3.1712473572938693</v>
      </c>
      <c r="AL64" s="36">
        <f>Table1[[#This Row],[Total Selling Price / Unit (MVR)]]-(Table1[[#This Row],[GST 8%
(MVR)]]+Table1[[#This Row],[Weighted max
expense (MVR)]])</f>
        <v>137.86577411382774</v>
      </c>
      <c r="AM64" s="37">
        <f>Table1[[#This Row],[Profit / Unit (MVR)]]*Table1[[#This Row],[Qty 
(NOS)]]</f>
        <v>551.46309645531096</v>
      </c>
      <c r="AN64"/>
      <c r="AO64"/>
    </row>
    <row r="65" spans="1:41" x14ac:dyDescent="0.25">
      <c r="A65" t="s">
        <v>91</v>
      </c>
      <c r="B65" s="18" t="s">
        <v>122</v>
      </c>
      <c r="C65" s="4">
        <v>4</v>
      </c>
      <c r="D65" s="7">
        <v>4.3</v>
      </c>
      <c r="E65" s="28">
        <v>17.2</v>
      </c>
      <c r="F65" s="28">
        <f t="shared" si="18"/>
        <v>94.6</v>
      </c>
      <c r="G65" s="4">
        <f t="shared" si="19"/>
        <v>378.4</v>
      </c>
      <c r="H65" s="28">
        <v>53.900000000000006</v>
      </c>
      <c r="I65" s="28">
        <v>335.71999999999997</v>
      </c>
      <c r="J65" s="39">
        <f t="shared" si="20"/>
        <v>137.86577411382774</v>
      </c>
      <c r="K65" s="30">
        <f>(F65/$G$92)*Costs!$B$23</f>
        <v>139.91200366395003</v>
      </c>
      <c r="L65" s="30">
        <f t="shared" si="21"/>
        <v>277.77777777777777</v>
      </c>
      <c r="M65" s="30">
        <f t="shared" si="22"/>
        <v>22.222222222222221</v>
      </c>
      <c r="N65" s="39">
        <v>300</v>
      </c>
      <c r="O65" s="25">
        <f>Table1[[#This Row],[Total Selling Price / Unit (MVR)]]*Table1[[#This Row],[Qty 
(NOS)]]</f>
        <v>1200</v>
      </c>
      <c r="P65" s="64"/>
      <c r="Q65" s="7">
        <v>3.93</v>
      </c>
      <c r="R65" s="28">
        <f t="shared" si="23"/>
        <v>86.460000000000008</v>
      </c>
      <c r="S65" s="28">
        <v>53.900000000000006</v>
      </c>
      <c r="T65" s="7">
        <v>4.08</v>
      </c>
      <c r="U65" s="7">
        <v>4.3</v>
      </c>
      <c r="V65" s="69">
        <v>94.6</v>
      </c>
      <c r="W65" s="28">
        <v>335.71999999999997</v>
      </c>
      <c r="X65" s="28">
        <v>300</v>
      </c>
      <c r="Y65" s="25">
        <f t="shared" si="24"/>
        <v>62.913600000000002</v>
      </c>
      <c r="Z65" s="25">
        <f t="shared" si="25"/>
        <v>67.946688000000009</v>
      </c>
      <c r="AA65" s="25">
        <f t="shared" si="26"/>
        <v>271.78675200000004</v>
      </c>
      <c r="AB65" s="25">
        <f t="shared" si="27"/>
        <v>201.6936</v>
      </c>
      <c r="AC65" s="25">
        <f t="shared" si="28"/>
        <v>217.82908800000001</v>
      </c>
      <c r="AD65" s="25">
        <f t="shared" si="29"/>
        <v>871.31635200000005</v>
      </c>
      <c r="AE65" s="25">
        <f t="shared" si="30"/>
        <v>89.76</v>
      </c>
      <c r="AF65" s="25">
        <f t="shared" si="31"/>
        <v>96.94080000000001</v>
      </c>
      <c r="AG65" s="25">
        <f t="shared" si="32"/>
        <v>387.76320000000004</v>
      </c>
      <c r="AH65" s="25">
        <f t="shared" si="33"/>
        <v>287.76</v>
      </c>
      <c r="AI65" s="25">
        <f t="shared" si="34"/>
        <v>310.7808</v>
      </c>
      <c r="AJ65" s="25">
        <f t="shared" si="35"/>
        <v>1243.1232</v>
      </c>
      <c r="AK65" s="22">
        <f>Table1[[#This Row],[Total Selling Price / Unit (MVR)]]/Table1[[#This Row],[CNF / Unit
(MVR)]]</f>
        <v>3.1712473572938693</v>
      </c>
      <c r="AL65" s="34">
        <f>Table1[[#This Row],[Total Selling Price / Unit (MVR)]]-(Table1[[#This Row],[GST 8%
(MVR)]]+Table1[[#This Row],[Weighted max
expense (MVR)]])</f>
        <v>137.86577411382774</v>
      </c>
      <c r="AM65" s="35">
        <f>Table1[[#This Row],[Profit / Unit (MVR)]]*Table1[[#This Row],[Qty 
(NOS)]]</f>
        <v>551.46309645531096</v>
      </c>
      <c r="AN65"/>
      <c r="AO65"/>
    </row>
    <row r="66" spans="1:41" x14ac:dyDescent="0.25">
      <c r="A66" t="s">
        <v>81</v>
      </c>
      <c r="B66" s="15" t="s">
        <v>119</v>
      </c>
      <c r="C66" s="4">
        <v>4</v>
      </c>
      <c r="D66" s="7">
        <v>3.2</v>
      </c>
      <c r="E66" s="28">
        <v>12.8</v>
      </c>
      <c r="F66" s="28">
        <f t="shared" si="18"/>
        <v>70.400000000000006</v>
      </c>
      <c r="G66" s="4">
        <f t="shared" si="19"/>
        <v>281.60000000000002</v>
      </c>
      <c r="H66" s="28">
        <v>293.48</v>
      </c>
      <c r="I66" s="28">
        <v>174.24</v>
      </c>
      <c r="J66" s="40">
        <f t="shared" si="20"/>
        <v>141.24980950417498</v>
      </c>
      <c r="K66" s="31">
        <f>(F66/$G$92)*Costs!$B$23</f>
        <v>104.12056086619538</v>
      </c>
      <c r="L66" s="31">
        <f t="shared" si="21"/>
        <v>245.37037037037035</v>
      </c>
      <c r="M66" s="31">
        <f t="shared" si="22"/>
        <v>19.62962962962963</v>
      </c>
      <c r="N66" s="40">
        <v>265</v>
      </c>
      <c r="O66" s="25">
        <f>Table1[[#This Row],[Total Selling Price / Unit (MVR)]]*Table1[[#This Row],[Qty 
(NOS)]]</f>
        <v>1060</v>
      </c>
      <c r="P66" s="64"/>
      <c r="Q66" s="7">
        <v>12.86</v>
      </c>
      <c r="R66" s="28">
        <f t="shared" si="23"/>
        <v>282.91999999999996</v>
      </c>
      <c r="S66" s="28">
        <v>293.48</v>
      </c>
      <c r="T66" s="7">
        <v>13.34</v>
      </c>
      <c r="U66" s="7">
        <v>3.2</v>
      </c>
      <c r="V66" s="70">
        <v>70.400000000000006</v>
      </c>
      <c r="W66" s="28">
        <v>174.24</v>
      </c>
      <c r="X66" s="28">
        <v>265</v>
      </c>
      <c r="Y66" s="25">
        <f t="shared" si="24"/>
        <v>205.7028</v>
      </c>
      <c r="Z66" s="25">
        <f t="shared" si="25"/>
        <v>222.15902400000002</v>
      </c>
      <c r="AA66" s="25">
        <f t="shared" si="26"/>
        <v>888.63609600000007</v>
      </c>
      <c r="AB66" s="25">
        <f t="shared" si="27"/>
        <v>344.4828</v>
      </c>
      <c r="AC66" s="25">
        <f t="shared" si="28"/>
        <v>372.04142400000001</v>
      </c>
      <c r="AD66" s="25">
        <f t="shared" si="29"/>
        <v>1488.165696</v>
      </c>
      <c r="AE66" s="25">
        <f t="shared" si="30"/>
        <v>293.48</v>
      </c>
      <c r="AF66" s="25">
        <f t="shared" si="31"/>
        <v>316.95840000000004</v>
      </c>
      <c r="AG66" s="25">
        <f t="shared" si="32"/>
        <v>1267.8336000000002</v>
      </c>
      <c r="AH66" s="25">
        <f t="shared" si="33"/>
        <v>491.48</v>
      </c>
      <c r="AI66" s="25">
        <f t="shared" si="34"/>
        <v>530.79840000000002</v>
      </c>
      <c r="AJ66" s="25">
        <f t="shared" si="35"/>
        <v>2123.1936000000001</v>
      </c>
      <c r="AK66" s="22">
        <f>Table1[[#This Row],[Total Selling Price / Unit (MVR)]]/Table1[[#This Row],[CNF / Unit
(MVR)]]</f>
        <v>3.764204545454545</v>
      </c>
      <c r="AL66" s="36">
        <f>Table1[[#This Row],[Total Selling Price / Unit (MVR)]]-(Table1[[#This Row],[GST 8%
(MVR)]]+Table1[[#This Row],[Weighted max
expense (MVR)]])</f>
        <v>141.249809504175</v>
      </c>
      <c r="AM66" s="37">
        <f>Table1[[#This Row],[Profit / Unit (MVR)]]*Table1[[#This Row],[Qty 
(NOS)]]</f>
        <v>564.99923801670002</v>
      </c>
      <c r="AN66"/>
      <c r="AO66"/>
    </row>
    <row r="67" spans="1:41" x14ac:dyDescent="0.25">
      <c r="A67" t="s">
        <v>37</v>
      </c>
      <c r="B67" s="15" t="s">
        <v>119</v>
      </c>
      <c r="C67" s="4">
        <v>7</v>
      </c>
      <c r="D67" s="7">
        <v>2.46</v>
      </c>
      <c r="E67" s="28">
        <v>17.22</v>
      </c>
      <c r="F67" s="28">
        <f t="shared" ref="F67:F91" si="36">D67*22</f>
        <v>54.12</v>
      </c>
      <c r="G67" s="4">
        <f t="shared" ref="G67:G98" si="37">SUM(F67*C67)</f>
        <v>378.84</v>
      </c>
      <c r="H67" s="28">
        <v>195.58</v>
      </c>
      <c r="I67" s="28">
        <v>130.02000000000001</v>
      </c>
      <c r="J67" s="39">
        <f t="shared" ref="J67:J98" si="38">L67-K67</f>
        <v>58.846207723001186</v>
      </c>
      <c r="K67" s="30">
        <f>(F67/$G$92)*Costs!$B$23</f>
        <v>80.0426811658877</v>
      </c>
      <c r="L67" s="30">
        <f t="shared" ref="L67:L91" si="39">N67/1.08</f>
        <v>138.88888888888889</v>
      </c>
      <c r="M67" s="30">
        <f t="shared" ref="M67:M98" si="40">L67*0.08</f>
        <v>11.111111111111111</v>
      </c>
      <c r="N67" s="39">
        <v>150</v>
      </c>
      <c r="O67" s="25">
        <f>Table1[[#This Row],[Total Selling Price / Unit (MVR)]]*Table1[[#This Row],[Qty 
(NOS)]]</f>
        <v>1050</v>
      </c>
      <c r="P67" s="64"/>
      <c r="Q67" s="7">
        <v>8.57</v>
      </c>
      <c r="R67" s="28">
        <f t="shared" ref="R67:R91" si="41">Q67*22</f>
        <v>188.54000000000002</v>
      </c>
      <c r="S67" s="28">
        <v>195.58</v>
      </c>
      <c r="T67" s="7">
        <v>8.89</v>
      </c>
      <c r="U67" s="7">
        <v>2.46</v>
      </c>
      <c r="V67" s="69">
        <v>54.12</v>
      </c>
      <c r="W67" s="28">
        <v>130.02000000000001</v>
      </c>
      <c r="X67" s="28">
        <v>150</v>
      </c>
      <c r="Y67" s="25">
        <f t="shared" ref="Y67:Y91" si="42">T67*15.42</f>
        <v>137.0838</v>
      </c>
      <c r="Z67" s="25">
        <f t="shared" ref="Z67:Z91" si="43">Y67*1.08</f>
        <v>148.05050400000002</v>
      </c>
      <c r="AA67" s="25">
        <f t="shared" ref="AA67:AA98" si="44">C67*Z67</f>
        <v>1036.3535280000001</v>
      </c>
      <c r="AB67" s="25">
        <f t="shared" ref="AB67:AB91" si="45">(T67+9)*15.42</f>
        <v>275.86380000000003</v>
      </c>
      <c r="AC67" s="25">
        <f t="shared" ref="AC67:AC91" si="46">AB67*1.08</f>
        <v>297.93290400000006</v>
      </c>
      <c r="AD67" s="25">
        <f t="shared" ref="AD67:AD98" si="47">C67*AC67</f>
        <v>2085.5303280000003</v>
      </c>
      <c r="AE67" s="25">
        <f t="shared" ref="AE67:AE91" si="48">T67*22</f>
        <v>195.58</v>
      </c>
      <c r="AF67" s="25">
        <f t="shared" ref="AF67:AF91" si="49">AE67*1.08</f>
        <v>211.22640000000004</v>
      </c>
      <c r="AG67" s="25">
        <f t="shared" ref="AG67:AG98" si="50">C67*AF67</f>
        <v>1478.5848000000003</v>
      </c>
      <c r="AH67" s="25">
        <f t="shared" ref="AH67:AH91" si="51">(T67+9)*22</f>
        <v>393.58000000000004</v>
      </c>
      <c r="AI67" s="25">
        <f t="shared" ref="AI67:AI91" si="52">AH67*1.08</f>
        <v>425.06640000000004</v>
      </c>
      <c r="AJ67" s="25">
        <f t="shared" ref="AJ67:AJ98" si="53">C67*AI67</f>
        <v>2975.4648000000002</v>
      </c>
      <c r="AK67" s="22">
        <f>Table1[[#This Row],[Total Selling Price / Unit (MVR)]]/Table1[[#This Row],[CNF / Unit
(MVR)]]</f>
        <v>2.7716186252771622</v>
      </c>
      <c r="AL67" s="34">
        <f>Table1[[#This Row],[Total Selling Price / Unit (MVR)]]-(Table1[[#This Row],[GST 8%
(MVR)]]+Table1[[#This Row],[Weighted max
expense (MVR)]])</f>
        <v>58.846207723001186</v>
      </c>
      <c r="AM67" s="35">
        <f>Table1[[#This Row],[Profit / Unit (MVR)]]*Table1[[#This Row],[Qty 
(NOS)]]</f>
        <v>411.92345406100833</v>
      </c>
      <c r="AN67"/>
      <c r="AO67"/>
    </row>
    <row r="68" spans="1:41" x14ac:dyDescent="0.25">
      <c r="A68" t="s">
        <v>39</v>
      </c>
      <c r="B68" s="15" t="s">
        <v>119</v>
      </c>
      <c r="C68" s="4">
        <v>7</v>
      </c>
      <c r="D68" s="7">
        <v>2.46</v>
      </c>
      <c r="E68" s="28">
        <v>17.22</v>
      </c>
      <c r="F68" s="28">
        <f t="shared" si="36"/>
        <v>54.12</v>
      </c>
      <c r="G68" s="4">
        <f t="shared" si="37"/>
        <v>378.84</v>
      </c>
      <c r="H68" s="28">
        <v>195.58</v>
      </c>
      <c r="I68" s="28">
        <v>130.02000000000001</v>
      </c>
      <c r="J68" s="40">
        <f t="shared" si="38"/>
        <v>58.846207723001186</v>
      </c>
      <c r="K68" s="31">
        <f>(F68/$G$92)*Costs!$B$23</f>
        <v>80.0426811658877</v>
      </c>
      <c r="L68" s="31">
        <f t="shared" si="39"/>
        <v>138.88888888888889</v>
      </c>
      <c r="M68" s="31">
        <f t="shared" si="40"/>
        <v>11.111111111111111</v>
      </c>
      <c r="N68" s="40">
        <v>150</v>
      </c>
      <c r="O68" s="25">
        <f>Table1[[#This Row],[Total Selling Price / Unit (MVR)]]*Table1[[#This Row],[Qty 
(NOS)]]</f>
        <v>1050</v>
      </c>
      <c r="P68" s="64"/>
      <c r="Q68" s="7">
        <v>8.57</v>
      </c>
      <c r="R68" s="28">
        <f t="shared" si="41"/>
        <v>188.54000000000002</v>
      </c>
      <c r="S68" s="28">
        <v>195.58</v>
      </c>
      <c r="T68" s="7">
        <v>8.89</v>
      </c>
      <c r="U68" s="7">
        <v>2.46</v>
      </c>
      <c r="V68" s="70">
        <v>54.12</v>
      </c>
      <c r="W68" s="28">
        <v>130.02000000000001</v>
      </c>
      <c r="X68" s="28">
        <v>150</v>
      </c>
      <c r="Y68" s="25">
        <f t="shared" si="42"/>
        <v>137.0838</v>
      </c>
      <c r="Z68" s="25">
        <f t="shared" si="43"/>
        <v>148.05050400000002</v>
      </c>
      <c r="AA68" s="25">
        <f t="shared" si="44"/>
        <v>1036.3535280000001</v>
      </c>
      <c r="AB68" s="25">
        <f t="shared" si="45"/>
        <v>275.86380000000003</v>
      </c>
      <c r="AC68" s="25">
        <f t="shared" si="46"/>
        <v>297.93290400000006</v>
      </c>
      <c r="AD68" s="25">
        <f t="shared" si="47"/>
        <v>2085.5303280000003</v>
      </c>
      <c r="AE68" s="25">
        <f t="shared" si="48"/>
        <v>195.58</v>
      </c>
      <c r="AF68" s="25">
        <f t="shared" si="49"/>
        <v>211.22640000000004</v>
      </c>
      <c r="AG68" s="25">
        <f t="shared" si="50"/>
        <v>1478.5848000000003</v>
      </c>
      <c r="AH68" s="25">
        <f t="shared" si="51"/>
        <v>393.58000000000004</v>
      </c>
      <c r="AI68" s="25">
        <f t="shared" si="52"/>
        <v>425.06640000000004</v>
      </c>
      <c r="AJ68" s="25">
        <f t="shared" si="53"/>
        <v>2975.4648000000002</v>
      </c>
      <c r="AK68" s="22">
        <f>Table1[[#This Row],[Total Selling Price / Unit (MVR)]]/Table1[[#This Row],[CNF / Unit
(MVR)]]</f>
        <v>2.7716186252771622</v>
      </c>
      <c r="AL68" s="36">
        <f>Table1[[#This Row],[Total Selling Price / Unit (MVR)]]-(Table1[[#This Row],[GST 8%
(MVR)]]+Table1[[#This Row],[Weighted max
expense (MVR)]])</f>
        <v>58.846207723001186</v>
      </c>
      <c r="AM68" s="37">
        <f>Table1[[#This Row],[Profit / Unit (MVR)]]*Table1[[#This Row],[Qty 
(NOS)]]</f>
        <v>411.92345406100833</v>
      </c>
      <c r="AN68"/>
      <c r="AO68"/>
    </row>
    <row r="69" spans="1:41" x14ac:dyDescent="0.25">
      <c r="A69" t="s">
        <v>38</v>
      </c>
      <c r="B69" s="15" t="s">
        <v>119</v>
      </c>
      <c r="C69" s="4">
        <v>7</v>
      </c>
      <c r="D69" s="7">
        <v>2.46</v>
      </c>
      <c r="E69" s="28">
        <v>17.22</v>
      </c>
      <c r="F69" s="28">
        <f t="shared" si="36"/>
        <v>54.12</v>
      </c>
      <c r="G69" s="4">
        <f t="shared" si="37"/>
        <v>378.84</v>
      </c>
      <c r="H69" s="28">
        <v>195.58</v>
      </c>
      <c r="I69" s="28">
        <v>130.02000000000001</v>
      </c>
      <c r="J69" s="39">
        <f t="shared" si="38"/>
        <v>58.846207723001186</v>
      </c>
      <c r="K69" s="30">
        <f>(F69/$G$92)*Costs!$B$23</f>
        <v>80.0426811658877</v>
      </c>
      <c r="L69" s="30">
        <f t="shared" si="39"/>
        <v>138.88888888888889</v>
      </c>
      <c r="M69" s="30">
        <f t="shared" si="40"/>
        <v>11.111111111111111</v>
      </c>
      <c r="N69" s="39">
        <v>150</v>
      </c>
      <c r="O69" s="25">
        <f>Table1[[#This Row],[Total Selling Price / Unit (MVR)]]*Table1[[#This Row],[Qty 
(NOS)]]</f>
        <v>1050</v>
      </c>
      <c r="P69" s="64"/>
      <c r="Q69" s="7">
        <v>8.57</v>
      </c>
      <c r="R69" s="28">
        <f t="shared" si="41"/>
        <v>188.54000000000002</v>
      </c>
      <c r="S69" s="28">
        <v>195.58</v>
      </c>
      <c r="T69" s="7">
        <v>8.89</v>
      </c>
      <c r="U69" s="7">
        <v>2.46</v>
      </c>
      <c r="V69" s="69">
        <v>54.12</v>
      </c>
      <c r="W69" s="28">
        <v>130.02000000000001</v>
      </c>
      <c r="X69" s="28">
        <v>150</v>
      </c>
      <c r="Y69" s="25">
        <f t="shared" si="42"/>
        <v>137.0838</v>
      </c>
      <c r="Z69" s="25">
        <f t="shared" si="43"/>
        <v>148.05050400000002</v>
      </c>
      <c r="AA69" s="25">
        <f t="shared" si="44"/>
        <v>1036.3535280000001</v>
      </c>
      <c r="AB69" s="25">
        <f t="shared" si="45"/>
        <v>275.86380000000003</v>
      </c>
      <c r="AC69" s="25">
        <f t="shared" si="46"/>
        <v>297.93290400000006</v>
      </c>
      <c r="AD69" s="25">
        <f t="shared" si="47"/>
        <v>2085.5303280000003</v>
      </c>
      <c r="AE69" s="25">
        <f t="shared" si="48"/>
        <v>195.58</v>
      </c>
      <c r="AF69" s="25">
        <f t="shared" si="49"/>
        <v>211.22640000000004</v>
      </c>
      <c r="AG69" s="25">
        <f t="shared" si="50"/>
        <v>1478.5848000000003</v>
      </c>
      <c r="AH69" s="25">
        <f t="shared" si="51"/>
        <v>393.58000000000004</v>
      </c>
      <c r="AI69" s="25">
        <f t="shared" si="52"/>
        <v>425.06640000000004</v>
      </c>
      <c r="AJ69" s="25">
        <f t="shared" si="53"/>
        <v>2975.4648000000002</v>
      </c>
      <c r="AK69" s="22">
        <f>Table1[[#This Row],[Total Selling Price / Unit (MVR)]]/Table1[[#This Row],[CNF / Unit
(MVR)]]</f>
        <v>2.7716186252771622</v>
      </c>
      <c r="AL69" s="34">
        <f>Table1[[#This Row],[Total Selling Price / Unit (MVR)]]-(Table1[[#This Row],[GST 8%
(MVR)]]+Table1[[#This Row],[Weighted max
expense (MVR)]])</f>
        <v>58.846207723001186</v>
      </c>
      <c r="AM69" s="35">
        <f>Table1[[#This Row],[Profit / Unit (MVR)]]*Table1[[#This Row],[Qty 
(NOS)]]</f>
        <v>411.92345406100833</v>
      </c>
      <c r="AN69"/>
      <c r="AO69"/>
    </row>
    <row r="70" spans="1:41" x14ac:dyDescent="0.25">
      <c r="A70" t="s">
        <v>82</v>
      </c>
      <c r="B70" s="15" t="s">
        <v>119</v>
      </c>
      <c r="C70" s="4">
        <v>4</v>
      </c>
      <c r="D70" s="7">
        <v>3.2</v>
      </c>
      <c r="E70" s="28">
        <v>12.8</v>
      </c>
      <c r="F70" s="28">
        <f t="shared" si="36"/>
        <v>70.400000000000006</v>
      </c>
      <c r="G70" s="4">
        <f t="shared" si="37"/>
        <v>281.60000000000002</v>
      </c>
      <c r="H70" s="28">
        <v>293.48</v>
      </c>
      <c r="I70" s="28">
        <v>174.24</v>
      </c>
      <c r="J70" s="40">
        <f t="shared" si="38"/>
        <v>141.24980950417498</v>
      </c>
      <c r="K70" s="31">
        <f>(F70/$G$92)*Costs!$B$23</f>
        <v>104.12056086619538</v>
      </c>
      <c r="L70" s="31">
        <f t="shared" si="39"/>
        <v>245.37037037037035</v>
      </c>
      <c r="M70" s="31">
        <f t="shared" si="40"/>
        <v>19.62962962962963</v>
      </c>
      <c r="N70" s="40">
        <v>265</v>
      </c>
      <c r="O70" s="25">
        <f>Table1[[#This Row],[Total Selling Price / Unit (MVR)]]*Table1[[#This Row],[Qty 
(NOS)]]</f>
        <v>1060</v>
      </c>
      <c r="P70" s="64"/>
      <c r="Q70" s="7">
        <v>8.57</v>
      </c>
      <c r="R70" s="28">
        <f t="shared" si="41"/>
        <v>188.54000000000002</v>
      </c>
      <c r="S70" s="28">
        <v>293.48</v>
      </c>
      <c r="T70" s="7">
        <v>13.34</v>
      </c>
      <c r="U70" s="7">
        <v>3.2</v>
      </c>
      <c r="V70" s="70">
        <v>70.400000000000006</v>
      </c>
      <c r="W70" s="28">
        <v>174.24</v>
      </c>
      <c r="X70" s="28">
        <v>265</v>
      </c>
      <c r="Y70" s="25">
        <f t="shared" si="42"/>
        <v>205.7028</v>
      </c>
      <c r="Z70" s="25">
        <f t="shared" si="43"/>
        <v>222.15902400000002</v>
      </c>
      <c r="AA70" s="25">
        <f t="shared" si="44"/>
        <v>888.63609600000007</v>
      </c>
      <c r="AB70" s="25">
        <f t="shared" si="45"/>
        <v>344.4828</v>
      </c>
      <c r="AC70" s="25">
        <f t="shared" si="46"/>
        <v>372.04142400000001</v>
      </c>
      <c r="AD70" s="25">
        <f t="shared" si="47"/>
        <v>1488.165696</v>
      </c>
      <c r="AE70" s="25">
        <f t="shared" si="48"/>
        <v>293.48</v>
      </c>
      <c r="AF70" s="25">
        <f t="shared" si="49"/>
        <v>316.95840000000004</v>
      </c>
      <c r="AG70" s="25">
        <f t="shared" si="50"/>
        <v>1267.8336000000002</v>
      </c>
      <c r="AH70" s="25">
        <f t="shared" si="51"/>
        <v>491.48</v>
      </c>
      <c r="AI70" s="25">
        <f t="shared" si="52"/>
        <v>530.79840000000002</v>
      </c>
      <c r="AJ70" s="25">
        <f t="shared" si="53"/>
        <v>2123.1936000000001</v>
      </c>
      <c r="AK70" s="22">
        <f>Table1[[#This Row],[Total Selling Price / Unit (MVR)]]/Table1[[#This Row],[CNF / Unit
(MVR)]]</f>
        <v>3.764204545454545</v>
      </c>
      <c r="AL70" s="36">
        <f>Table1[[#This Row],[Total Selling Price / Unit (MVR)]]-(Table1[[#This Row],[GST 8%
(MVR)]]+Table1[[#This Row],[Weighted max
expense (MVR)]])</f>
        <v>141.249809504175</v>
      </c>
      <c r="AM70" s="37">
        <f>Table1[[#This Row],[Profit / Unit (MVR)]]*Table1[[#This Row],[Qty 
(NOS)]]</f>
        <v>564.99923801670002</v>
      </c>
      <c r="AN70"/>
      <c r="AO70"/>
    </row>
    <row r="71" spans="1:41" x14ac:dyDescent="0.25">
      <c r="A71" t="s">
        <v>42</v>
      </c>
      <c r="B71" s="15" t="s">
        <v>119</v>
      </c>
      <c r="C71" s="4">
        <v>7</v>
      </c>
      <c r="D71" s="7">
        <v>3.73</v>
      </c>
      <c r="E71" s="28">
        <v>26.11</v>
      </c>
      <c r="F71" s="28">
        <f t="shared" si="36"/>
        <v>82.06</v>
      </c>
      <c r="G71" s="4">
        <f t="shared" si="37"/>
        <v>574.42000000000007</v>
      </c>
      <c r="H71" s="28">
        <v>570.68000000000006</v>
      </c>
      <c r="I71" s="28">
        <v>167.85999999999999</v>
      </c>
      <c r="J71" s="39">
        <f t="shared" si="38"/>
        <v>192.52336012922987</v>
      </c>
      <c r="K71" s="30">
        <f>(F71/$G$92)*Costs!$B$23</f>
        <v>121.36552875965899</v>
      </c>
      <c r="L71" s="30">
        <f t="shared" si="39"/>
        <v>313.88888888888886</v>
      </c>
      <c r="M71" s="30">
        <f t="shared" si="40"/>
        <v>25.111111111111111</v>
      </c>
      <c r="N71" s="39">
        <v>339</v>
      </c>
      <c r="O71" s="25">
        <f>Table1[[#This Row],[Total Selling Price / Unit (MVR)]]*Table1[[#This Row],[Qty 
(NOS)]]</f>
        <v>2373</v>
      </c>
      <c r="P71" s="64"/>
      <c r="Q71" s="7">
        <v>25</v>
      </c>
      <c r="R71" s="28">
        <f t="shared" si="41"/>
        <v>550</v>
      </c>
      <c r="S71" s="28">
        <v>570.68000000000006</v>
      </c>
      <c r="T71" s="7">
        <v>25.94</v>
      </c>
      <c r="U71" s="7">
        <v>3.73</v>
      </c>
      <c r="V71" s="69">
        <v>82.06</v>
      </c>
      <c r="W71" s="28">
        <v>167.85999999999999</v>
      </c>
      <c r="X71" s="28">
        <v>339</v>
      </c>
      <c r="Y71" s="25">
        <f t="shared" si="42"/>
        <v>399.9948</v>
      </c>
      <c r="Z71" s="25">
        <f t="shared" si="43"/>
        <v>431.99438400000003</v>
      </c>
      <c r="AA71" s="25">
        <f t="shared" si="44"/>
        <v>3023.9606880000001</v>
      </c>
      <c r="AB71" s="25">
        <f t="shared" si="45"/>
        <v>538.77479999999991</v>
      </c>
      <c r="AC71" s="25">
        <f t="shared" si="46"/>
        <v>581.87678399999993</v>
      </c>
      <c r="AD71" s="25">
        <f t="shared" si="47"/>
        <v>4073.1374879999994</v>
      </c>
      <c r="AE71" s="25">
        <f t="shared" si="48"/>
        <v>570.68000000000006</v>
      </c>
      <c r="AF71" s="25">
        <f t="shared" si="49"/>
        <v>616.33440000000007</v>
      </c>
      <c r="AG71" s="25">
        <f t="shared" si="50"/>
        <v>4314.3408000000009</v>
      </c>
      <c r="AH71" s="25">
        <f t="shared" si="51"/>
        <v>768.68</v>
      </c>
      <c r="AI71" s="25">
        <f t="shared" si="52"/>
        <v>830.17439999999999</v>
      </c>
      <c r="AJ71" s="25">
        <f t="shared" si="53"/>
        <v>5811.2208000000001</v>
      </c>
      <c r="AK71" s="22">
        <f>Table1[[#This Row],[Total Selling Price / Unit (MVR)]]/Table1[[#This Row],[CNF / Unit
(MVR)]]</f>
        <v>4.1311235681208869</v>
      </c>
      <c r="AL71" s="34">
        <f>Table1[[#This Row],[Total Selling Price / Unit (MVR)]]-(Table1[[#This Row],[GST 8%
(MVR)]]+Table1[[#This Row],[Weighted max
expense (MVR)]])</f>
        <v>192.5233601292299</v>
      </c>
      <c r="AM71" s="35">
        <f>Table1[[#This Row],[Profit / Unit (MVR)]]*Table1[[#This Row],[Qty 
(NOS)]]</f>
        <v>1347.6635209046094</v>
      </c>
      <c r="AN71"/>
      <c r="AO71"/>
    </row>
    <row r="72" spans="1:41" x14ac:dyDescent="0.25">
      <c r="A72" t="s">
        <v>83</v>
      </c>
      <c r="B72" s="15" t="s">
        <v>119</v>
      </c>
      <c r="C72" s="4">
        <v>4</v>
      </c>
      <c r="D72" s="7">
        <v>3.73</v>
      </c>
      <c r="E72" s="28">
        <v>14.92</v>
      </c>
      <c r="F72" s="28">
        <f t="shared" si="36"/>
        <v>82.06</v>
      </c>
      <c r="G72" s="4">
        <f t="shared" si="37"/>
        <v>328.24</v>
      </c>
      <c r="H72" s="28">
        <v>570.68000000000006</v>
      </c>
      <c r="I72" s="28">
        <v>167.85999999999999</v>
      </c>
      <c r="J72" s="40">
        <f t="shared" si="38"/>
        <v>192.52336012922987</v>
      </c>
      <c r="K72" s="31">
        <f>(F72/$G$92)*Costs!$B$23</f>
        <v>121.36552875965899</v>
      </c>
      <c r="L72" s="31">
        <f t="shared" si="39"/>
        <v>313.88888888888886</v>
      </c>
      <c r="M72" s="31">
        <f t="shared" si="40"/>
        <v>25.111111111111111</v>
      </c>
      <c r="N72" s="40">
        <v>339</v>
      </c>
      <c r="O72" s="25">
        <f>Table1[[#This Row],[Total Selling Price / Unit (MVR)]]*Table1[[#This Row],[Qty 
(NOS)]]</f>
        <v>1356</v>
      </c>
      <c r="P72" s="64"/>
      <c r="Q72" s="7">
        <v>25</v>
      </c>
      <c r="R72" s="28">
        <f t="shared" si="41"/>
        <v>550</v>
      </c>
      <c r="S72" s="28">
        <v>570.68000000000006</v>
      </c>
      <c r="T72" s="7">
        <v>25.94</v>
      </c>
      <c r="U72" s="7">
        <v>3.73</v>
      </c>
      <c r="V72" s="70">
        <v>82.06</v>
      </c>
      <c r="W72" s="28">
        <v>167.85999999999999</v>
      </c>
      <c r="X72" s="28">
        <v>339</v>
      </c>
      <c r="Y72" s="25">
        <f t="shared" si="42"/>
        <v>399.9948</v>
      </c>
      <c r="Z72" s="25">
        <f t="shared" si="43"/>
        <v>431.99438400000003</v>
      </c>
      <c r="AA72" s="25">
        <f t="shared" si="44"/>
        <v>1727.9775360000001</v>
      </c>
      <c r="AB72" s="25">
        <f t="shared" si="45"/>
        <v>538.77479999999991</v>
      </c>
      <c r="AC72" s="25">
        <f t="shared" si="46"/>
        <v>581.87678399999993</v>
      </c>
      <c r="AD72" s="25">
        <f t="shared" si="47"/>
        <v>2327.5071359999997</v>
      </c>
      <c r="AE72" s="25">
        <f t="shared" si="48"/>
        <v>570.68000000000006</v>
      </c>
      <c r="AF72" s="25">
        <f t="shared" si="49"/>
        <v>616.33440000000007</v>
      </c>
      <c r="AG72" s="25">
        <f t="shared" si="50"/>
        <v>2465.3376000000003</v>
      </c>
      <c r="AH72" s="25">
        <f t="shared" si="51"/>
        <v>768.68</v>
      </c>
      <c r="AI72" s="25">
        <f t="shared" si="52"/>
        <v>830.17439999999999</v>
      </c>
      <c r="AJ72" s="25">
        <f t="shared" si="53"/>
        <v>3320.6976</v>
      </c>
      <c r="AK72" s="22">
        <f>Table1[[#This Row],[Total Selling Price / Unit (MVR)]]/Table1[[#This Row],[CNF / Unit
(MVR)]]</f>
        <v>4.1311235681208869</v>
      </c>
      <c r="AL72" s="36">
        <f>Table1[[#This Row],[Total Selling Price / Unit (MVR)]]-(Table1[[#This Row],[GST 8%
(MVR)]]+Table1[[#This Row],[Weighted max
expense (MVR)]])</f>
        <v>192.5233601292299</v>
      </c>
      <c r="AM72" s="37">
        <f>Table1[[#This Row],[Profit / Unit (MVR)]]*Table1[[#This Row],[Qty 
(NOS)]]</f>
        <v>770.0934405169196</v>
      </c>
      <c r="AN72"/>
      <c r="AO72"/>
    </row>
    <row r="73" spans="1:41" x14ac:dyDescent="0.25">
      <c r="A73" t="s">
        <v>41</v>
      </c>
      <c r="B73" s="15" t="s">
        <v>119</v>
      </c>
      <c r="C73" s="4">
        <v>7</v>
      </c>
      <c r="D73" s="7">
        <v>6.28</v>
      </c>
      <c r="E73" s="28">
        <v>43.96</v>
      </c>
      <c r="F73" s="28">
        <f t="shared" si="36"/>
        <v>138.16</v>
      </c>
      <c r="G73" s="4">
        <f t="shared" si="37"/>
        <v>967.12</v>
      </c>
      <c r="H73" s="28">
        <v>244.64</v>
      </c>
      <c r="I73" s="28">
        <v>214.5</v>
      </c>
      <c r="J73" s="39">
        <f t="shared" si="38"/>
        <v>13.255991892684165</v>
      </c>
      <c r="K73" s="30">
        <f>(F73/$G$92)*Costs!$B$23</f>
        <v>204.33660069990842</v>
      </c>
      <c r="L73" s="30">
        <f t="shared" si="39"/>
        <v>217.59259259259258</v>
      </c>
      <c r="M73" s="30">
        <f t="shared" si="40"/>
        <v>17.407407407407408</v>
      </c>
      <c r="N73" s="39">
        <v>235</v>
      </c>
      <c r="O73" s="25">
        <f>Table1[[#This Row],[Total Selling Price / Unit (MVR)]]*Table1[[#This Row],[Qty 
(NOS)]]</f>
        <v>1645</v>
      </c>
      <c r="P73" s="64"/>
      <c r="Q73" s="7">
        <v>23.57</v>
      </c>
      <c r="R73" s="28">
        <f t="shared" si="41"/>
        <v>518.54</v>
      </c>
      <c r="S73" s="28">
        <v>244.64</v>
      </c>
      <c r="T73" s="7">
        <v>11.12</v>
      </c>
      <c r="U73" s="7">
        <v>6.28</v>
      </c>
      <c r="V73" s="69">
        <v>138.16</v>
      </c>
      <c r="W73" s="28">
        <v>214.5</v>
      </c>
      <c r="X73" s="28">
        <v>235</v>
      </c>
      <c r="Y73" s="25">
        <f t="shared" si="42"/>
        <v>171.47039999999998</v>
      </c>
      <c r="Z73" s="25">
        <f t="shared" si="43"/>
        <v>185.18803199999999</v>
      </c>
      <c r="AA73" s="25">
        <f t="shared" si="44"/>
        <v>1296.3162239999999</v>
      </c>
      <c r="AB73" s="25">
        <f t="shared" si="45"/>
        <v>310.25039999999996</v>
      </c>
      <c r="AC73" s="25">
        <f t="shared" si="46"/>
        <v>335.07043199999998</v>
      </c>
      <c r="AD73" s="25">
        <f t="shared" si="47"/>
        <v>2345.4930239999999</v>
      </c>
      <c r="AE73" s="25">
        <f t="shared" si="48"/>
        <v>244.64</v>
      </c>
      <c r="AF73" s="25">
        <f t="shared" si="49"/>
        <v>264.21120000000002</v>
      </c>
      <c r="AG73" s="25">
        <f t="shared" si="50"/>
        <v>1849.4784000000002</v>
      </c>
      <c r="AH73" s="25">
        <f t="shared" si="51"/>
        <v>442.63999999999993</v>
      </c>
      <c r="AI73" s="25">
        <f t="shared" si="52"/>
        <v>478.05119999999994</v>
      </c>
      <c r="AJ73" s="25">
        <f t="shared" si="53"/>
        <v>3346.3583999999996</v>
      </c>
      <c r="AK73" s="22">
        <f>Table1[[#This Row],[Total Selling Price / Unit (MVR)]]/Table1[[#This Row],[CNF / Unit
(MVR)]]</f>
        <v>1.7009264620729589</v>
      </c>
      <c r="AL73" s="34">
        <f>Table1[[#This Row],[Total Selling Price / Unit (MVR)]]-(Table1[[#This Row],[GST 8%
(MVR)]]+Table1[[#This Row],[Weighted max
expense (MVR)]])</f>
        <v>13.255991892684165</v>
      </c>
      <c r="AM73" s="35">
        <f>Table1[[#This Row],[Profit / Unit (MVR)]]*Table1[[#This Row],[Qty 
(NOS)]]</f>
        <v>92.791943248789153</v>
      </c>
      <c r="AN73"/>
      <c r="AO73"/>
    </row>
    <row r="74" spans="1:41" x14ac:dyDescent="0.25">
      <c r="A74" t="s">
        <v>40</v>
      </c>
      <c r="B74" s="15" t="s">
        <v>119</v>
      </c>
      <c r="C74" s="4">
        <v>7</v>
      </c>
      <c r="D74" s="7">
        <v>6.24</v>
      </c>
      <c r="E74" s="28">
        <v>43.68</v>
      </c>
      <c r="F74" s="28">
        <f t="shared" si="36"/>
        <v>137.28</v>
      </c>
      <c r="G74" s="4">
        <f t="shared" si="37"/>
        <v>960.96</v>
      </c>
      <c r="H74" s="28">
        <v>244.64</v>
      </c>
      <c r="I74" s="28">
        <v>232.98</v>
      </c>
      <c r="J74" s="40">
        <f t="shared" si="38"/>
        <v>9.9278692738819814</v>
      </c>
      <c r="K74" s="57">
        <f>(F74/$G$92)*Costs!$B$23</f>
        <v>203.03509368908098</v>
      </c>
      <c r="L74" s="57">
        <f t="shared" si="39"/>
        <v>212.96296296296296</v>
      </c>
      <c r="M74" s="57">
        <f t="shared" si="40"/>
        <v>17.037037037037038</v>
      </c>
      <c r="N74" s="40">
        <v>230</v>
      </c>
      <c r="O74" s="27">
        <f>Table1[[#This Row],[Total Selling Price / Unit (MVR)]]*Table1[[#This Row],[Qty 
(NOS)]]</f>
        <v>1610</v>
      </c>
      <c r="P74" s="65"/>
      <c r="Q74" s="7">
        <v>23.57</v>
      </c>
      <c r="R74" s="28">
        <f t="shared" si="41"/>
        <v>518.54</v>
      </c>
      <c r="S74" s="28">
        <v>244.64</v>
      </c>
      <c r="T74" s="7">
        <v>11.12</v>
      </c>
      <c r="U74" s="7">
        <v>6.24</v>
      </c>
      <c r="V74" s="70">
        <v>137.28</v>
      </c>
      <c r="W74" s="28">
        <v>232.98</v>
      </c>
      <c r="X74" s="28">
        <v>230</v>
      </c>
      <c r="Y74" s="27">
        <f t="shared" si="42"/>
        <v>171.47039999999998</v>
      </c>
      <c r="Z74" s="25">
        <f t="shared" si="43"/>
        <v>185.18803199999999</v>
      </c>
      <c r="AA74" s="25">
        <f t="shared" si="44"/>
        <v>1296.3162239999999</v>
      </c>
      <c r="AB74" s="25">
        <f t="shared" si="45"/>
        <v>310.25039999999996</v>
      </c>
      <c r="AC74" s="25">
        <f t="shared" si="46"/>
        <v>335.07043199999998</v>
      </c>
      <c r="AD74" s="25">
        <f t="shared" si="47"/>
        <v>2345.4930239999999</v>
      </c>
      <c r="AE74" s="25">
        <f t="shared" si="48"/>
        <v>244.64</v>
      </c>
      <c r="AF74" s="25">
        <f t="shared" si="49"/>
        <v>264.21120000000002</v>
      </c>
      <c r="AG74" s="25">
        <f t="shared" si="50"/>
        <v>1849.4784000000002</v>
      </c>
      <c r="AH74" s="25">
        <f t="shared" si="51"/>
        <v>442.63999999999993</v>
      </c>
      <c r="AI74" s="27">
        <f t="shared" si="52"/>
        <v>478.05119999999994</v>
      </c>
      <c r="AJ74" s="27">
        <f t="shared" si="53"/>
        <v>3346.3583999999996</v>
      </c>
      <c r="AK74" s="41">
        <f>Table1[[#This Row],[Total Selling Price / Unit (MVR)]]/Table1[[#This Row],[CNF / Unit
(MVR)]]</f>
        <v>1.6754079254079255</v>
      </c>
      <c r="AL74" s="58">
        <f>Table1[[#This Row],[Total Selling Price / Unit (MVR)]]-(Table1[[#This Row],[GST 8%
(MVR)]]+Table1[[#This Row],[Weighted max
expense (MVR)]])</f>
        <v>9.9278692738819814</v>
      </c>
      <c r="AM74" s="59">
        <f>Table1[[#This Row],[Profit / Unit (MVR)]]*Table1[[#This Row],[Qty 
(NOS)]]</f>
        <v>69.49508491717387</v>
      </c>
      <c r="AN74"/>
      <c r="AO74"/>
    </row>
    <row r="75" spans="1:41" x14ac:dyDescent="0.25">
      <c r="A75" t="s">
        <v>84</v>
      </c>
      <c r="B75" s="15" t="s">
        <v>119</v>
      </c>
      <c r="C75" s="4">
        <v>4</v>
      </c>
      <c r="D75" s="7">
        <v>6.85</v>
      </c>
      <c r="E75" s="28">
        <v>27.4</v>
      </c>
      <c r="F75" s="28">
        <f t="shared" si="36"/>
        <v>150.69999999999999</v>
      </c>
      <c r="G75" s="4">
        <f t="shared" si="37"/>
        <v>602.79999999999995</v>
      </c>
      <c r="H75" s="28">
        <v>652.08000000000004</v>
      </c>
      <c r="I75" s="28">
        <v>247.72</v>
      </c>
      <c r="J75" s="39">
        <f t="shared" si="38"/>
        <v>100.26507254394869</v>
      </c>
      <c r="K75" s="30">
        <f>(F75/$G$92)*Costs!$B$23</f>
        <v>222.88307560419946</v>
      </c>
      <c r="L75" s="30">
        <f t="shared" si="39"/>
        <v>323.14814814814815</v>
      </c>
      <c r="M75" s="30">
        <f t="shared" si="40"/>
        <v>25.851851851851851</v>
      </c>
      <c r="N75" s="39">
        <v>349</v>
      </c>
      <c r="O75" s="25">
        <f>Table1[[#This Row],[Total Selling Price / Unit (MVR)]]*Table1[[#This Row],[Qty 
(NOS)]]</f>
        <v>1396</v>
      </c>
      <c r="P75" s="64"/>
      <c r="Q75" s="7">
        <v>28.57</v>
      </c>
      <c r="R75" s="28">
        <f t="shared" si="41"/>
        <v>628.54</v>
      </c>
      <c r="S75" s="28">
        <v>652.08000000000004</v>
      </c>
      <c r="T75" s="7">
        <v>29.64</v>
      </c>
      <c r="U75" s="7">
        <v>6.85</v>
      </c>
      <c r="V75" s="69">
        <v>150.69999999999999</v>
      </c>
      <c r="W75" s="28">
        <v>247.72</v>
      </c>
      <c r="X75" s="28">
        <v>349</v>
      </c>
      <c r="Y75" s="25">
        <f t="shared" si="42"/>
        <v>457.04880000000003</v>
      </c>
      <c r="Z75" s="25">
        <f t="shared" si="43"/>
        <v>493.61270400000006</v>
      </c>
      <c r="AA75" s="25">
        <f t="shared" si="44"/>
        <v>1974.4508160000003</v>
      </c>
      <c r="AB75" s="25">
        <f t="shared" si="45"/>
        <v>595.8288</v>
      </c>
      <c r="AC75" s="25">
        <f t="shared" si="46"/>
        <v>643.49510400000008</v>
      </c>
      <c r="AD75" s="25">
        <f t="shared" si="47"/>
        <v>2573.9804160000003</v>
      </c>
      <c r="AE75" s="25">
        <f t="shared" si="48"/>
        <v>652.08000000000004</v>
      </c>
      <c r="AF75" s="25">
        <f t="shared" si="49"/>
        <v>704.24640000000011</v>
      </c>
      <c r="AG75" s="25">
        <f t="shared" si="50"/>
        <v>2816.9856000000004</v>
      </c>
      <c r="AH75" s="25">
        <f t="shared" si="51"/>
        <v>850.08</v>
      </c>
      <c r="AI75" s="25">
        <f t="shared" si="52"/>
        <v>918.08640000000014</v>
      </c>
      <c r="AJ75" s="25">
        <f t="shared" si="53"/>
        <v>3672.3456000000006</v>
      </c>
      <c r="AK75" s="22">
        <f>Table1[[#This Row],[Total Selling Price / Unit (MVR)]]/Table1[[#This Row],[CNF / Unit
(MVR)]]</f>
        <v>2.3158593231585933</v>
      </c>
      <c r="AL75" s="34">
        <f>Table1[[#This Row],[Total Selling Price / Unit (MVR)]]-(Table1[[#This Row],[GST 8%
(MVR)]]+Table1[[#This Row],[Weighted max
expense (MVR)]])</f>
        <v>100.26507254394869</v>
      </c>
      <c r="AM75" s="35">
        <f>Table1[[#This Row],[Profit / Unit (MVR)]]*Table1[[#This Row],[Qty 
(NOS)]]</f>
        <v>401.06029017579476</v>
      </c>
      <c r="AN75"/>
      <c r="AO75"/>
    </row>
    <row r="76" spans="1:41" x14ac:dyDescent="0.25">
      <c r="A76" t="s">
        <v>88</v>
      </c>
      <c r="B76" s="16" t="s">
        <v>120</v>
      </c>
      <c r="C76" s="4">
        <v>4</v>
      </c>
      <c r="D76" s="7">
        <v>4.74</v>
      </c>
      <c r="E76" s="28">
        <v>18.96</v>
      </c>
      <c r="F76" s="28">
        <f t="shared" si="36"/>
        <v>104.28</v>
      </c>
      <c r="G76" s="4">
        <f t="shared" si="37"/>
        <v>417.12</v>
      </c>
      <c r="H76" s="28" t="s">
        <v>114</v>
      </c>
      <c r="I76" s="28">
        <v>222.42</v>
      </c>
      <c r="J76" s="40">
        <f t="shared" si="38"/>
        <v>122.62327106879994</v>
      </c>
      <c r="K76" s="31">
        <f>(F76/$G$92)*Costs!$B$23</f>
        <v>154.22858078305191</v>
      </c>
      <c r="L76" s="31">
        <f t="shared" si="39"/>
        <v>276.85185185185185</v>
      </c>
      <c r="M76" s="31">
        <f t="shared" si="40"/>
        <v>22.148148148148149</v>
      </c>
      <c r="N76" s="40">
        <v>299</v>
      </c>
      <c r="O76" s="25">
        <f>Table1[[#This Row],[Total Selling Price / Unit (MVR)]]*Table1[[#This Row],[Qty 
(NOS)]]</f>
        <v>1196</v>
      </c>
      <c r="P76" s="64"/>
      <c r="Q76" s="7">
        <v>14.29</v>
      </c>
      <c r="R76" s="28">
        <f t="shared" si="41"/>
        <v>314.38</v>
      </c>
      <c r="S76" s="28" t="s">
        <v>114</v>
      </c>
      <c r="T76" s="61">
        <v>14.8</v>
      </c>
      <c r="U76" s="7">
        <v>4.74</v>
      </c>
      <c r="V76" s="70">
        <v>104.28</v>
      </c>
      <c r="W76" s="28">
        <v>222.42</v>
      </c>
      <c r="X76" s="28">
        <v>299</v>
      </c>
      <c r="Y76" s="25">
        <f t="shared" si="42"/>
        <v>228.21600000000001</v>
      </c>
      <c r="Z76" s="25">
        <f t="shared" si="43"/>
        <v>246.47328000000002</v>
      </c>
      <c r="AA76" s="25">
        <f t="shared" si="44"/>
        <v>985.89312000000007</v>
      </c>
      <c r="AB76" s="25">
        <f t="shared" si="45"/>
        <v>366.99599999999998</v>
      </c>
      <c r="AC76" s="25">
        <f t="shared" si="46"/>
        <v>396.35568000000001</v>
      </c>
      <c r="AD76" s="25">
        <f t="shared" si="47"/>
        <v>1585.42272</v>
      </c>
      <c r="AE76" s="25">
        <f t="shared" si="48"/>
        <v>325.60000000000002</v>
      </c>
      <c r="AF76" s="25">
        <f t="shared" si="49"/>
        <v>351.64800000000002</v>
      </c>
      <c r="AG76" s="25">
        <f t="shared" si="50"/>
        <v>1406.5920000000001</v>
      </c>
      <c r="AH76" s="25">
        <f t="shared" si="51"/>
        <v>523.6</v>
      </c>
      <c r="AI76" s="25">
        <f t="shared" si="52"/>
        <v>565.48800000000006</v>
      </c>
      <c r="AJ76" s="25">
        <f t="shared" si="53"/>
        <v>2261.9520000000002</v>
      </c>
      <c r="AK76" s="22">
        <f>Table1[[#This Row],[Total Selling Price / Unit (MVR)]]/Table1[[#This Row],[CNF / Unit
(MVR)]]</f>
        <v>2.8672803989259683</v>
      </c>
      <c r="AL76" s="36">
        <f>Table1[[#This Row],[Total Selling Price / Unit (MVR)]]-(Table1[[#This Row],[GST 8%
(MVR)]]+Table1[[#This Row],[Weighted max
expense (MVR)]])</f>
        <v>122.62327106879994</v>
      </c>
      <c r="AM76" s="37">
        <f>Table1[[#This Row],[Profit / Unit (MVR)]]*Table1[[#This Row],[Qty 
(NOS)]]</f>
        <v>490.49308427519975</v>
      </c>
      <c r="AN76"/>
      <c r="AO76"/>
    </row>
    <row r="77" spans="1:41" x14ac:dyDescent="0.25">
      <c r="A77" t="s">
        <v>44</v>
      </c>
      <c r="B77" s="16" t="s">
        <v>120</v>
      </c>
      <c r="C77" s="4">
        <v>7</v>
      </c>
      <c r="D77" s="7">
        <v>6.92</v>
      </c>
      <c r="E77" s="28">
        <v>48.44</v>
      </c>
      <c r="F77" s="28">
        <f t="shared" si="36"/>
        <v>152.24</v>
      </c>
      <c r="G77" s="4">
        <f t="shared" si="37"/>
        <v>1065.68</v>
      </c>
      <c r="H77" s="28">
        <v>407.66</v>
      </c>
      <c r="I77" s="28">
        <v>356.84</v>
      </c>
      <c r="J77" s="39">
        <f t="shared" si="38"/>
        <v>135.02447231203766</v>
      </c>
      <c r="K77" s="30">
        <f>(F77/$G$92)*Costs!$B$23</f>
        <v>225.1607128731475</v>
      </c>
      <c r="L77" s="30">
        <f t="shared" si="39"/>
        <v>360.18518518518516</v>
      </c>
      <c r="M77" s="30">
        <f t="shared" si="40"/>
        <v>28.814814814814813</v>
      </c>
      <c r="N77" s="39">
        <v>389</v>
      </c>
      <c r="O77" s="25">
        <f>Table1[[#This Row],[Total Selling Price / Unit (MVR)]]*Table1[[#This Row],[Qty 
(NOS)]]</f>
        <v>2723</v>
      </c>
      <c r="P77" s="64"/>
      <c r="Q77" s="7">
        <v>17.86</v>
      </c>
      <c r="R77" s="28">
        <f t="shared" si="41"/>
        <v>392.91999999999996</v>
      </c>
      <c r="S77" s="28">
        <v>407.66</v>
      </c>
      <c r="T77" s="7">
        <v>18.53</v>
      </c>
      <c r="U77" s="7">
        <v>6.92</v>
      </c>
      <c r="V77" s="69">
        <v>152.24</v>
      </c>
      <c r="W77" s="28">
        <v>356.84</v>
      </c>
      <c r="X77" s="28">
        <v>389</v>
      </c>
      <c r="Y77" s="25">
        <f t="shared" si="42"/>
        <v>285.73259999999999</v>
      </c>
      <c r="Z77" s="25">
        <f t="shared" si="43"/>
        <v>308.59120799999999</v>
      </c>
      <c r="AA77" s="25">
        <f t="shared" si="44"/>
        <v>2160.1384560000001</v>
      </c>
      <c r="AB77" s="25">
        <f t="shared" si="45"/>
        <v>424.51260000000002</v>
      </c>
      <c r="AC77" s="25">
        <f t="shared" si="46"/>
        <v>458.47360800000007</v>
      </c>
      <c r="AD77" s="25">
        <f t="shared" si="47"/>
        <v>3209.3152560000003</v>
      </c>
      <c r="AE77" s="25">
        <f t="shared" si="48"/>
        <v>407.66</v>
      </c>
      <c r="AF77" s="25">
        <f t="shared" si="49"/>
        <v>440.27280000000007</v>
      </c>
      <c r="AG77" s="25">
        <f t="shared" si="50"/>
        <v>3081.9096000000004</v>
      </c>
      <c r="AH77" s="25">
        <f t="shared" si="51"/>
        <v>605.66000000000008</v>
      </c>
      <c r="AI77" s="25">
        <f t="shared" si="52"/>
        <v>654.11280000000011</v>
      </c>
      <c r="AJ77" s="25">
        <f t="shared" si="53"/>
        <v>4578.789600000001</v>
      </c>
      <c r="AK77" s="22">
        <f>Table1[[#This Row],[Total Selling Price / Unit (MVR)]]/Table1[[#This Row],[CNF / Unit
(MVR)]]</f>
        <v>2.5551760378349972</v>
      </c>
      <c r="AL77" s="34">
        <f>Table1[[#This Row],[Total Selling Price / Unit (MVR)]]-(Table1[[#This Row],[GST 8%
(MVR)]]+Table1[[#This Row],[Weighted max
expense (MVR)]])</f>
        <v>135.02447231203769</v>
      </c>
      <c r="AM77" s="35">
        <f>Table1[[#This Row],[Profit / Unit (MVR)]]*Table1[[#This Row],[Qty 
(NOS)]]</f>
        <v>945.17130618426381</v>
      </c>
      <c r="AN77"/>
      <c r="AO77"/>
    </row>
    <row r="78" spans="1:41" x14ac:dyDescent="0.25">
      <c r="A78" t="s">
        <v>43</v>
      </c>
      <c r="B78" s="16" t="s">
        <v>120</v>
      </c>
      <c r="C78" s="4">
        <v>7</v>
      </c>
      <c r="D78" s="7">
        <v>6.92</v>
      </c>
      <c r="E78" s="28">
        <v>48.44</v>
      </c>
      <c r="F78" s="28">
        <f t="shared" si="36"/>
        <v>152.24</v>
      </c>
      <c r="G78" s="4">
        <f t="shared" si="37"/>
        <v>1065.68</v>
      </c>
      <c r="H78" s="28">
        <v>407.66</v>
      </c>
      <c r="I78" s="28">
        <v>356.84</v>
      </c>
      <c r="J78" s="40">
        <f t="shared" si="38"/>
        <v>135.02447231203766</v>
      </c>
      <c r="K78" s="31">
        <f>(F78/$G$92)*Costs!$B$23</f>
        <v>225.1607128731475</v>
      </c>
      <c r="L78" s="31">
        <f t="shared" si="39"/>
        <v>360.18518518518516</v>
      </c>
      <c r="M78" s="31">
        <f t="shared" si="40"/>
        <v>28.814814814814813</v>
      </c>
      <c r="N78" s="40">
        <v>389</v>
      </c>
      <c r="O78" s="25">
        <f>Table1[[#This Row],[Total Selling Price / Unit (MVR)]]*Table1[[#This Row],[Qty 
(NOS)]]</f>
        <v>2723</v>
      </c>
      <c r="P78" s="64"/>
      <c r="Q78" s="7">
        <v>17.86</v>
      </c>
      <c r="R78" s="28">
        <f t="shared" si="41"/>
        <v>392.91999999999996</v>
      </c>
      <c r="S78" s="28">
        <v>407.66</v>
      </c>
      <c r="T78" s="7">
        <v>18.53</v>
      </c>
      <c r="U78" s="7">
        <v>6.92</v>
      </c>
      <c r="V78" s="70">
        <v>152.24</v>
      </c>
      <c r="W78" s="28">
        <v>356.84</v>
      </c>
      <c r="X78" s="28">
        <v>389</v>
      </c>
      <c r="Y78" s="25">
        <f t="shared" si="42"/>
        <v>285.73259999999999</v>
      </c>
      <c r="Z78" s="25">
        <f t="shared" si="43"/>
        <v>308.59120799999999</v>
      </c>
      <c r="AA78" s="25">
        <f t="shared" si="44"/>
        <v>2160.1384560000001</v>
      </c>
      <c r="AB78" s="25">
        <f t="shared" si="45"/>
        <v>424.51260000000002</v>
      </c>
      <c r="AC78" s="25">
        <f t="shared" si="46"/>
        <v>458.47360800000007</v>
      </c>
      <c r="AD78" s="25">
        <f t="shared" si="47"/>
        <v>3209.3152560000003</v>
      </c>
      <c r="AE78" s="25">
        <f t="shared" si="48"/>
        <v>407.66</v>
      </c>
      <c r="AF78" s="25">
        <f t="shared" si="49"/>
        <v>440.27280000000007</v>
      </c>
      <c r="AG78" s="25">
        <f t="shared" si="50"/>
        <v>3081.9096000000004</v>
      </c>
      <c r="AH78" s="25">
        <f t="shared" si="51"/>
        <v>605.66000000000008</v>
      </c>
      <c r="AI78" s="25">
        <f t="shared" si="52"/>
        <v>654.11280000000011</v>
      </c>
      <c r="AJ78" s="25">
        <f t="shared" si="53"/>
        <v>4578.789600000001</v>
      </c>
      <c r="AK78" s="22">
        <f>Table1[[#This Row],[Total Selling Price / Unit (MVR)]]/Table1[[#This Row],[CNF / Unit
(MVR)]]</f>
        <v>2.5551760378349972</v>
      </c>
      <c r="AL78" s="36">
        <f>Table1[[#This Row],[Total Selling Price / Unit (MVR)]]-(Table1[[#This Row],[GST 8%
(MVR)]]+Table1[[#This Row],[Weighted max
expense (MVR)]])</f>
        <v>135.02447231203769</v>
      </c>
      <c r="AM78" s="37">
        <f>Table1[[#This Row],[Profit / Unit (MVR)]]*Table1[[#This Row],[Qty 
(NOS)]]</f>
        <v>945.17130618426381</v>
      </c>
      <c r="AN78"/>
      <c r="AO78"/>
    </row>
    <row r="79" spans="1:41" x14ac:dyDescent="0.25">
      <c r="A79" t="s">
        <v>87</v>
      </c>
      <c r="B79" s="16" t="s">
        <v>120</v>
      </c>
      <c r="C79" s="4">
        <v>4</v>
      </c>
      <c r="D79" s="7">
        <v>6.92</v>
      </c>
      <c r="E79" s="28">
        <v>27.68</v>
      </c>
      <c r="F79" s="28">
        <f t="shared" si="36"/>
        <v>152.24</v>
      </c>
      <c r="G79" s="4">
        <f t="shared" si="37"/>
        <v>608.96</v>
      </c>
      <c r="H79" s="28">
        <v>407.66</v>
      </c>
      <c r="I79" s="28">
        <v>356.84</v>
      </c>
      <c r="J79" s="39">
        <f t="shared" si="38"/>
        <v>135.02447231203766</v>
      </c>
      <c r="K79" s="30">
        <f>(F79/$G$92)*Costs!$B$23</f>
        <v>225.1607128731475</v>
      </c>
      <c r="L79" s="30">
        <f t="shared" si="39"/>
        <v>360.18518518518516</v>
      </c>
      <c r="M79" s="30">
        <f t="shared" si="40"/>
        <v>28.814814814814813</v>
      </c>
      <c r="N79" s="39">
        <v>389</v>
      </c>
      <c r="O79" s="25">
        <f>Table1[[#This Row],[Total Selling Price / Unit (MVR)]]*Table1[[#This Row],[Qty 
(NOS)]]</f>
        <v>1556</v>
      </c>
      <c r="P79" s="64"/>
      <c r="Q79" s="7">
        <v>17.86</v>
      </c>
      <c r="R79" s="28">
        <f t="shared" si="41"/>
        <v>392.91999999999996</v>
      </c>
      <c r="S79" s="28">
        <v>407.66</v>
      </c>
      <c r="T79" s="7">
        <v>18.53</v>
      </c>
      <c r="U79" s="7">
        <v>6.92</v>
      </c>
      <c r="V79" s="69">
        <v>152.24</v>
      </c>
      <c r="W79" s="28">
        <v>356.84</v>
      </c>
      <c r="X79" s="28">
        <v>389</v>
      </c>
      <c r="Y79" s="25">
        <f t="shared" si="42"/>
        <v>285.73259999999999</v>
      </c>
      <c r="Z79" s="25">
        <f t="shared" si="43"/>
        <v>308.59120799999999</v>
      </c>
      <c r="AA79" s="25">
        <f t="shared" si="44"/>
        <v>1234.364832</v>
      </c>
      <c r="AB79" s="25">
        <f t="shared" si="45"/>
        <v>424.51260000000002</v>
      </c>
      <c r="AC79" s="25">
        <f t="shared" si="46"/>
        <v>458.47360800000007</v>
      </c>
      <c r="AD79" s="25">
        <f t="shared" si="47"/>
        <v>1833.8944320000003</v>
      </c>
      <c r="AE79" s="25">
        <f t="shared" si="48"/>
        <v>407.66</v>
      </c>
      <c r="AF79" s="25">
        <f t="shared" si="49"/>
        <v>440.27280000000007</v>
      </c>
      <c r="AG79" s="25">
        <f t="shared" si="50"/>
        <v>1761.0912000000003</v>
      </c>
      <c r="AH79" s="25">
        <f t="shared" si="51"/>
        <v>605.66000000000008</v>
      </c>
      <c r="AI79" s="25">
        <f t="shared" si="52"/>
        <v>654.11280000000011</v>
      </c>
      <c r="AJ79" s="25">
        <f t="shared" si="53"/>
        <v>2616.4512000000004</v>
      </c>
      <c r="AK79" s="22">
        <f>Table1[[#This Row],[Total Selling Price / Unit (MVR)]]/Table1[[#This Row],[CNF / Unit
(MVR)]]</f>
        <v>2.5551760378349972</v>
      </c>
      <c r="AL79" s="34">
        <f>Table1[[#This Row],[Total Selling Price / Unit (MVR)]]-(Table1[[#This Row],[GST 8%
(MVR)]]+Table1[[#This Row],[Weighted max
expense (MVR)]])</f>
        <v>135.02447231203769</v>
      </c>
      <c r="AM79" s="35">
        <f>Table1[[#This Row],[Profit / Unit (MVR)]]*Table1[[#This Row],[Qty 
(NOS)]]</f>
        <v>540.09788924815075</v>
      </c>
      <c r="AN79"/>
      <c r="AO79"/>
    </row>
    <row r="80" spans="1:41" x14ac:dyDescent="0.25">
      <c r="A80" t="s">
        <v>109</v>
      </c>
      <c r="B80" s="16" t="s">
        <v>120</v>
      </c>
      <c r="C80" s="4">
        <v>4</v>
      </c>
      <c r="D80" s="7">
        <v>6.92</v>
      </c>
      <c r="E80" s="28">
        <v>27.68</v>
      </c>
      <c r="F80" s="28">
        <f t="shared" si="36"/>
        <v>152.24</v>
      </c>
      <c r="G80" s="4">
        <f t="shared" si="37"/>
        <v>608.96</v>
      </c>
      <c r="H80" s="28">
        <v>407.66</v>
      </c>
      <c r="I80" s="28">
        <v>356.84</v>
      </c>
      <c r="J80" s="40">
        <f t="shared" si="38"/>
        <v>135.02447231203766</v>
      </c>
      <c r="K80" s="31">
        <f>(F80/$G$92)*Costs!$B$23</f>
        <v>225.1607128731475</v>
      </c>
      <c r="L80" s="31">
        <f t="shared" si="39"/>
        <v>360.18518518518516</v>
      </c>
      <c r="M80" s="31">
        <f t="shared" si="40"/>
        <v>28.814814814814813</v>
      </c>
      <c r="N80" s="40">
        <v>389</v>
      </c>
      <c r="O80" s="26">
        <f>Table1[[#This Row],[Total Selling Price / Unit (MVR)]]*Table1[[#This Row],[Qty 
(NOS)]]</f>
        <v>1556</v>
      </c>
      <c r="P80" s="66"/>
      <c r="Q80" s="7">
        <v>17.86</v>
      </c>
      <c r="R80" s="28">
        <f t="shared" si="41"/>
        <v>392.91999999999996</v>
      </c>
      <c r="S80" s="28">
        <v>407.66</v>
      </c>
      <c r="T80" s="7">
        <v>18.53</v>
      </c>
      <c r="U80" s="7">
        <v>6.92</v>
      </c>
      <c r="V80" s="70">
        <v>152.24</v>
      </c>
      <c r="W80" s="28">
        <v>356.84</v>
      </c>
      <c r="X80" s="55">
        <v>389</v>
      </c>
      <c r="Y80" s="26">
        <f t="shared" si="42"/>
        <v>285.73259999999999</v>
      </c>
      <c r="Z80" s="25">
        <f t="shared" si="43"/>
        <v>308.59120799999999</v>
      </c>
      <c r="AA80" s="25">
        <f t="shared" si="44"/>
        <v>1234.364832</v>
      </c>
      <c r="AB80" s="25">
        <f t="shared" si="45"/>
        <v>424.51260000000002</v>
      </c>
      <c r="AC80" s="25">
        <f t="shared" si="46"/>
        <v>458.47360800000007</v>
      </c>
      <c r="AD80" s="25">
        <f t="shared" si="47"/>
        <v>1833.8944320000003</v>
      </c>
      <c r="AE80" s="25">
        <f t="shared" si="48"/>
        <v>407.66</v>
      </c>
      <c r="AF80" s="25">
        <f t="shared" si="49"/>
        <v>440.27280000000007</v>
      </c>
      <c r="AG80" s="25">
        <f t="shared" si="50"/>
        <v>1761.0912000000003</v>
      </c>
      <c r="AH80" s="25">
        <f t="shared" si="51"/>
        <v>605.66000000000008</v>
      </c>
      <c r="AI80" s="26">
        <f t="shared" si="52"/>
        <v>654.11280000000011</v>
      </c>
      <c r="AJ80" s="26">
        <f t="shared" si="53"/>
        <v>2616.4512000000004</v>
      </c>
      <c r="AK80" s="23">
        <f>Table1[[#This Row],[Total Selling Price / Unit (MVR)]]/Table1[[#This Row],[CNF / Unit
(MVR)]]</f>
        <v>2.5551760378349972</v>
      </c>
      <c r="AL80" s="36">
        <f>Table1[[#This Row],[Total Selling Price / Unit (MVR)]]-(Table1[[#This Row],[GST 8%
(MVR)]]+Table1[[#This Row],[Weighted max
expense (MVR)]])</f>
        <v>135.02447231203769</v>
      </c>
      <c r="AM80" s="37">
        <f>Table1[[#This Row],[Profit / Unit (MVR)]]*Table1[[#This Row],[Qty 
(NOS)]]</f>
        <v>540.09788924815075</v>
      </c>
      <c r="AN80"/>
      <c r="AO80"/>
    </row>
    <row r="81" spans="1:41" x14ac:dyDescent="0.25">
      <c r="A81" t="s">
        <v>89</v>
      </c>
      <c r="B81" s="17" t="s">
        <v>121</v>
      </c>
      <c r="C81" s="4">
        <v>4</v>
      </c>
      <c r="D81" s="7">
        <v>5.8</v>
      </c>
      <c r="E81" s="28">
        <v>23.2</v>
      </c>
      <c r="F81" s="28">
        <f t="shared" si="36"/>
        <v>127.6</v>
      </c>
      <c r="G81" s="4">
        <f t="shared" si="37"/>
        <v>510.4</v>
      </c>
      <c r="H81" s="28">
        <v>407.66</v>
      </c>
      <c r="I81" s="28">
        <v>292.15999999999997</v>
      </c>
      <c r="J81" s="39">
        <f t="shared" si="38"/>
        <v>135.35555750409495</v>
      </c>
      <c r="K81" s="30">
        <f>(F81/$G$92)*Costs!$B$23</f>
        <v>188.71851656997913</v>
      </c>
      <c r="L81" s="30">
        <f t="shared" si="39"/>
        <v>324.07407407407408</v>
      </c>
      <c r="M81" s="30">
        <f t="shared" si="40"/>
        <v>25.925925925925927</v>
      </c>
      <c r="N81" s="39">
        <v>350</v>
      </c>
      <c r="O81" s="25">
        <f>Table1[[#This Row],[Total Selling Price / Unit (MVR)]]*Table1[[#This Row],[Qty 
(NOS)]]</f>
        <v>1400</v>
      </c>
      <c r="P81" s="64"/>
      <c r="Q81" s="7">
        <v>7.14</v>
      </c>
      <c r="R81" s="28">
        <f t="shared" si="41"/>
        <v>157.07999999999998</v>
      </c>
      <c r="S81" s="28">
        <v>407.66</v>
      </c>
      <c r="T81" s="7">
        <v>18.53</v>
      </c>
      <c r="U81" s="7">
        <v>5.8</v>
      </c>
      <c r="V81" s="69">
        <v>127.6</v>
      </c>
      <c r="W81" s="28">
        <v>292.15999999999997</v>
      </c>
      <c r="X81" s="28">
        <v>350</v>
      </c>
      <c r="Y81" s="25">
        <f t="shared" si="42"/>
        <v>285.73259999999999</v>
      </c>
      <c r="Z81" s="25">
        <f t="shared" si="43"/>
        <v>308.59120799999999</v>
      </c>
      <c r="AA81" s="25">
        <f t="shared" si="44"/>
        <v>1234.364832</v>
      </c>
      <c r="AB81" s="25">
        <f t="shared" si="45"/>
        <v>424.51260000000002</v>
      </c>
      <c r="AC81" s="25">
        <f t="shared" si="46"/>
        <v>458.47360800000007</v>
      </c>
      <c r="AD81" s="25">
        <f t="shared" si="47"/>
        <v>1833.8944320000003</v>
      </c>
      <c r="AE81" s="25">
        <f t="shared" si="48"/>
        <v>407.66</v>
      </c>
      <c r="AF81" s="25">
        <f t="shared" si="49"/>
        <v>440.27280000000007</v>
      </c>
      <c r="AG81" s="25">
        <f t="shared" si="50"/>
        <v>1761.0912000000003</v>
      </c>
      <c r="AH81" s="25">
        <f t="shared" si="51"/>
        <v>605.66000000000008</v>
      </c>
      <c r="AI81" s="25">
        <f t="shared" si="52"/>
        <v>654.11280000000011</v>
      </c>
      <c r="AJ81" s="25">
        <f t="shared" si="53"/>
        <v>2616.4512000000004</v>
      </c>
      <c r="AK81" s="22">
        <f>Table1[[#This Row],[Total Selling Price / Unit (MVR)]]/Table1[[#This Row],[CNF / Unit
(MVR)]]</f>
        <v>2.7429467084639501</v>
      </c>
      <c r="AL81" s="34">
        <f>Table1[[#This Row],[Total Selling Price / Unit (MVR)]]-(Table1[[#This Row],[GST 8%
(MVR)]]+Table1[[#This Row],[Weighted max
expense (MVR)]])</f>
        <v>135.35555750409495</v>
      </c>
      <c r="AM81" s="35">
        <f>Table1[[#This Row],[Profit / Unit (MVR)]]*Table1[[#This Row],[Qty 
(NOS)]]</f>
        <v>541.42223001637979</v>
      </c>
      <c r="AN81"/>
      <c r="AO81"/>
    </row>
    <row r="82" spans="1:41" x14ac:dyDescent="0.25">
      <c r="A82" t="s">
        <v>67</v>
      </c>
      <c r="B82" s="17" t="s">
        <v>121</v>
      </c>
      <c r="C82" s="4">
        <v>4</v>
      </c>
      <c r="D82" s="7">
        <v>5.94</v>
      </c>
      <c r="E82" s="28">
        <v>23.76</v>
      </c>
      <c r="F82" s="28">
        <f t="shared" si="36"/>
        <v>130.68</v>
      </c>
      <c r="G82" s="4">
        <f t="shared" si="37"/>
        <v>522.72</v>
      </c>
      <c r="H82" s="28">
        <v>407.66</v>
      </c>
      <c r="I82" s="28">
        <v>375.76</v>
      </c>
      <c r="J82" s="40">
        <f t="shared" si="38"/>
        <v>130.80028296619889</v>
      </c>
      <c r="K82" s="31">
        <f>(F82/$G$92)*Costs!$B$23</f>
        <v>193.27379110787518</v>
      </c>
      <c r="L82" s="31">
        <f t="shared" si="39"/>
        <v>324.07407407407408</v>
      </c>
      <c r="M82" s="31">
        <f t="shared" si="40"/>
        <v>25.925925925925927</v>
      </c>
      <c r="N82" s="40">
        <v>350</v>
      </c>
      <c r="O82" s="25">
        <f>Table1[[#This Row],[Total Selling Price / Unit (MVR)]]*Table1[[#This Row],[Qty 
(NOS)]]</f>
        <v>1400</v>
      </c>
      <c r="P82" s="64"/>
      <c r="Q82" s="7">
        <v>7.14</v>
      </c>
      <c r="R82" s="28">
        <f t="shared" si="41"/>
        <v>157.07999999999998</v>
      </c>
      <c r="S82" s="28">
        <v>407.66</v>
      </c>
      <c r="T82" s="7">
        <v>18.53</v>
      </c>
      <c r="U82" s="7">
        <v>5.94</v>
      </c>
      <c r="V82" s="70">
        <v>130.68</v>
      </c>
      <c r="W82" s="28">
        <v>375.76</v>
      </c>
      <c r="X82" s="28">
        <v>350</v>
      </c>
      <c r="Y82" s="25">
        <f t="shared" si="42"/>
        <v>285.73259999999999</v>
      </c>
      <c r="Z82" s="25">
        <f t="shared" si="43"/>
        <v>308.59120799999999</v>
      </c>
      <c r="AA82" s="25">
        <f t="shared" si="44"/>
        <v>1234.364832</v>
      </c>
      <c r="AB82" s="25">
        <f t="shared" si="45"/>
        <v>424.51260000000002</v>
      </c>
      <c r="AC82" s="25">
        <f t="shared" si="46"/>
        <v>458.47360800000007</v>
      </c>
      <c r="AD82" s="25">
        <f t="shared" si="47"/>
        <v>1833.8944320000003</v>
      </c>
      <c r="AE82" s="25">
        <f t="shared" si="48"/>
        <v>407.66</v>
      </c>
      <c r="AF82" s="25">
        <f t="shared" si="49"/>
        <v>440.27280000000007</v>
      </c>
      <c r="AG82" s="25">
        <f t="shared" si="50"/>
        <v>1761.0912000000003</v>
      </c>
      <c r="AH82" s="25">
        <f t="shared" si="51"/>
        <v>605.66000000000008</v>
      </c>
      <c r="AI82" s="25">
        <f t="shared" si="52"/>
        <v>654.11280000000011</v>
      </c>
      <c r="AJ82" s="25">
        <f t="shared" si="53"/>
        <v>2616.4512000000004</v>
      </c>
      <c r="AK82" s="22">
        <f>Table1[[#This Row],[Total Selling Price / Unit (MVR)]]/Table1[[#This Row],[CNF / Unit
(MVR)]]</f>
        <v>2.6782981328435871</v>
      </c>
      <c r="AL82" s="36">
        <f>Table1[[#This Row],[Total Selling Price / Unit (MVR)]]-(Table1[[#This Row],[GST 8%
(MVR)]]+Table1[[#This Row],[Weighted max
expense (MVR)]])</f>
        <v>130.80028296619889</v>
      </c>
      <c r="AM82" s="37">
        <f>Table1[[#This Row],[Profit / Unit (MVR)]]*Table1[[#This Row],[Qty 
(NOS)]]</f>
        <v>523.20113186479557</v>
      </c>
      <c r="AN82"/>
      <c r="AO82"/>
    </row>
    <row r="83" spans="1:41" x14ac:dyDescent="0.25">
      <c r="A83" t="s">
        <v>86</v>
      </c>
      <c r="B83" s="17" t="s">
        <v>121</v>
      </c>
      <c r="C83" s="4">
        <v>4</v>
      </c>
      <c r="D83" s="7">
        <v>5.94</v>
      </c>
      <c r="E83" s="28">
        <v>23.76</v>
      </c>
      <c r="F83" s="28">
        <f t="shared" si="36"/>
        <v>130.68</v>
      </c>
      <c r="G83" s="4">
        <f t="shared" si="37"/>
        <v>522.72</v>
      </c>
      <c r="H83" s="28">
        <v>407.66</v>
      </c>
      <c r="I83" s="28">
        <v>375.76</v>
      </c>
      <c r="J83" s="39">
        <f t="shared" si="38"/>
        <v>148.39287555879145</v>
      </c>
      <c r="K83" s="30">
        <f>(F83/$G$92)*Costs!$B$23</f>
        <v>193.27379110787518</v>
      </c>
      <c r="L83" s="30">
        <f t="shared" si="39"/>
        <v>341.66666666666663</v>
      </c>
      <c r="M83" s="30">
        <f t="shared" si="40"/>
        <v>27.333333333333332</v>
      </c>
      <c r="N83" s="39">
        <v>369</v>
      </c>
      <c r="O83" s="25">
        <f>Table1[[#This Row],[Total Selling Price / Unit (MVR)]]*Table1[[#This Row],[Qty 
(NOS)]]</f>
        <v>1476</v>
      </c>
      <c r="P83" s="64"/>
      <c r="Q83" s="7">
        <v>7.14</v>
      </c>
      <c r="R83" s="28">
        <f t="shared" si="41"/>
        <v>157.07999999999998</v>
      </c>
      <c r="S83" s="28">
        <v>407.66</v>
      </c>
      <c r="T83" s="7">
        <v>18.53</v>
      </c>
      <c r="U83" s="7">
        <v>5.94</v>
      </c>
      <c r="V83" s="69">
        <v>130.68</v>
      </c>
      <c r="W83" s="28">
        <v>375.76</v>
      </c>
      <c r="X83" s="28">
        <v>369</v>
      </c>
      <c r="Y83" s="25">
        <f t="shared" si="42"/>
        <v>285.73259999999999</v>
      </c>
      <c r="Z83" s="25">
        <f t="shared" si="43"/>
        <v>308.59120799999999</v>
      </c>
      <c r="AA83" s="25">
        <f t="shared" si="44"/>
        <v>1234.364832</v>
      </c>
      <c r="AB83" s="25">
        <f t="shared" si="45"/>
        <v>424.51260000000002</v>
      </c>
      <c r="AC83" s="25">
        <f t="shared" si="46"/>
        <v>458.47360800000007</v>
      </c>
      <c r="AD83" s="25">
        <f t="shared" si="47"/>
        <v>1833.8944320000003</v>
      </c>
      <c r="AE83" s="25">
        <f t="shared" si="48"/>
        <v>407.66</v>
      </c>
      <c r="AF83" s="25">
        <f t="shared" si="49"/>
        <v>440.27280000000007</v>
      </c>
      <c r="AG83" s="25">
        <f t="shared" si="50"/>
        <v>1761.0912000000003</v>
      </c>
      <c r="AH83" s="25">
        <f t="shared" si="51"/>
        <v>605.66000000000008</v>
      </c>
      <c r="AI83" s="25">
        <f t="shared" si="52"/>
        <v>654.11280000000011</v>
      </c>
      <c r="AJ83" s="25">
        <f t="shared" si="53"/>
        <v>2616.4512000000004</v>
      </c>
      <c r="AK83" s="22">
        <f>Table1[[#This Row],[Total Selling Price / Unit (MVR)]]/Table1[[#This Row],[CNF / Unit
(MVR)]]</f>
        <v>2.8236914600550964</v>
      </c>
      <c r="AL83" s="34">
        <f>Table1[[#This Row],[Total Selling Price / Unit (MVR)]]-(Table1[[#This Row],[GST 8%
(MVR)]]+Table1[[#This Row],[Weighted max
expense (MVR)]])</f>
        <v>148.39287555879147</v>
      </c>
      <c r="AM83" s="35">
        <f>Table1[[#This Row],[Profit / Unit (MVR)]]*Table1[[#This Row],[Qty 
(NOS)]]</f>
        <v>593.57150223516589</v>
      </c>
      <c r="AN83"/>
      <c r="AO83"/>
    </row>
    <row r="84" spans="1:41" x14ac:dyDescent="0.25">
      <c r="A84" t="s">
        <v>110</v>
      </c>
      <c r="B84" s="17" t="s">
        <v>121</v>
      </c>
      <c r="C84" s="4">
        <v>4</v>
      </c>
      <c r="D84" s="7">
        <v>6.64</v>
      </c>
      <c r="E84" s="28">
        <v>26.56</v>
      </c>
      <c r="F84" s="28">
        <f t="shared" si="36"/>
        <v>146.07999999999998</v>
      </c>
      <c r="G84" s="4">
        <f t="shared" si="37"/>
        <v>584.31999999999994</v>
      </c>
      <c r="H84" s="28">
        <v>1271.5999999999999</v>
      </c>
      <c r="I84" s="28">
        <v>339.9</v>
      </c>
      <c r="J84" s="40">
        <f t="shared" si="38"/>
        <v>339.50539175820018</v>
      </c>
      <c r="K84" s="31">
        <f>(F84/$G$92)*Costs!$B$23</f>
        <v>216.05016379735537</v>
      </c>
      <c r="L84" s="31">
        <f t="shared" si="39"/>
        <v>555.55555555555554</v>
      </c>
      <c r="M84" s="31">
        <f t="shared" si="40"/>
        <v>44.444444444444443</v>
      </c>
      <c r="N84" s="40">
        <v>600</v>
      </c>
      <c r="O84" s="25">
        <f>Table1[[#This Row],[Total Selling Price / Unit (MVR)]]*Table1[[#This Row],[Qty 
(NOS)]]</f>
        <v>2400</v>
      </c>
      <c r="P84" s="64"/>
      <c r="Q84" s="7">
        <v>55.71</v>
      </c>
      <c r="R84" s="28">
        <f t="shared" si="41"/>
        <v>1225.6200000000001</v>
      </c>
      <c r="S84" s="28">
        <v>1271.5999999999999</v>
      </c>
      <c r="T84" s="7">
        <v>57.8</v>
      </c>
      <c r="U84" s="7">
        <v>6.64</v>
      </c>
      <c r="V84" s="70">
        <v>146.07999999999998</v>
      </c>
      <c r="W84" s="28">
        <v>339.9</v>
      </c>
      <c r="X84" s="28">
        <v>600</v>
      </c>
      <c r="Y84" s="25">
        <f t="shared" si="42"/>
        <v>891.27599999999995</v>
      </c>
      <c r="Z84" s="25">
        <f t="shared" si="43"/>
        <v>962.57808</v>
      </c>
      <c r="AA84" s="25">
        <f t="shared" si="44"/>
        <v>3850.31232</v>
      </c>
      <c r="AB84" s="25">
        <f t="shared" si="45"/>
        <v>1030.056</v>
      </c>
      <c r="AC84" s="25">
        <f t="shared" si="46"/>
        <v>1112.4604800000002</v>
      </c>
      <c r="AD84" s="25">
        <f t="shared" si="47"/>
        <v>4449.8419200000008</v>
      </c>
      <c r="AE84" s="25">
        <f t="shared" si="48"/>
        <v>1271.5999999999999</v>
      </c>
      <c r="AF84" s="25">
        <f t="shared" si="49"/>
        <v>1373.328</v>
      </c>
      <c r="AG84" s="25">
        <f t="shared" si="50"/>
        <v>5493.3119999999999</v>
      </c>
      <c r="AH84" s="25">
        <f t="shared" si="51"/>
        <v>1469.6</v>
      </c>
      <c r="AI84" s="25">
        <f t="shared" si="52"/>
        <v>1587.1679999999999</v>
      </c>
      <c r="AJ84" s="25">
        <f t="shared" si="53"/>
        <v>6348.6719999999996</v>
      </c>
      <c r="AK84" s="22">
        <f>Table1[[#This Row],[Total Selling Price / Unit (MVR)]]/Table1[[#This Row],[CNF / Unit
(MVR)]]</f>
        <v>4.1073384446878425</v>
      </c>
      <c r="AL84" s="36">
        <f>Table1[[#This Row],[Total Selling Price / Unit (MVR)]]-(Table1[[#This Row],[GST 8%
(MVR)]]+Table1[[#This Row],[Weighted max
expense (MVR)]])</f>
        <v>339.50539175820018</v>
      </c>
      <c r="AM84" s="37">
        <f>Table1[[#This Row],[Profit / Unit (MVR)]]*Table1[[#This Row],[Qty 
(NOS)]]</f>
        <v>1358.0215670328007</v>
      </c>
      <c r="AN84"/>
      <c r="AO84"/>
    </row>
    <row r="85" spans="1:41" x14ac:dyDescent="0.25">
      <c r="A85" t="s">
        <v>111</v>
      </c>
      <c r="B85" s="17" t="s">
        <v>121</v>
      </c>
      <c r="C85" s="4">
        <v>4</v>
      </c>
      <c r="D85" s="7">
        <v>8.3000000000000007</v>
      </c>
      <c r="E85" s="28">
        <v>33.200000000000003</v>
      </c>
      <c r="F85" s="28">
        <f t="shared" si="36"/>
        <v>182.60000000000002</v>
      </c>
      <c r="G85" s="4">
        <f t="shared" si="37"/>
        <v>730.40000000000009</v>
      </c>
      <c r="H85" s="28" t="s">
        <v>114</v>
      </c>
      <c r="I85" s="28">
        <v>438.68</v>
      </c>
      <c r="J85" s="39">
        <f t="shared" si="38"/>
        <v>100.30766562367603</v>
      </c>
      <c r="K85" s="30">
        <f>(F85/$G$92)*Costs!$B$23</f>
        <v>270.06270474669429</v>
      </c>
      <c r="L85" s="30">
        <f t="shared" si="39"/>
        <v>370.37037037037032</v>
      </c>
      <c r="M85" s="30">
        <f t="shared" si="40"/>
        <v>29.629629629629626</v>
      </c>
      <c r="N85" s="39">
        <v>400</v>
      </c>
      <c r="O85" s="25">
        <f>Table1[[#This Row],[Total Selling Price / Unit (MVR)]]*Table1[[#This Row],[Qty 
(NOS)]]</f>
        <v>1600</v>
      </c>
      <c r="P85" s="64"/>
      <c r="Q85" s="7">
        <v>25</v>
      </c>
      <c r="R85" s="28">
        <f t="shared" si="41"/>
        <v>550</v>
      </c>
      <c r="S85" s="28" t="s">
        <v>114</v>
      </c>
      <c r="T85" s="61">
        <v>25.94</v>
      </c>
      <c r="U85" s="7">
        <v>8.3000000000000007</v>
      </c>
      <c r="V85" s="69">
        <v>182.60000000000002</v>
      </c>
      <c r="W85" s="28">
        <v>438.68</v>
      </c>
      <c r="X85" s="28">
        <v>400</v>
      </c>
      <c r="Y85" s="25">
        <f t="shared" si="42"/>
        <v>399.9948</v>
      </c>
      <c r="Z85" s="25">
        <f t="shared" si="43"/>
        <v>431.99438400000003</v>
      </c>
      <c r="AA85" s="25">
        <f t="shared" si="44"/>
        <v>1727.9775360000001</v>
      </c>
      <c r="AB85" s="25">
        <f t="shared" si="45"/>
        <v>538.77479999999991</v>
      </c>
      <c r="AC85" s="25">
        <f t="shared" si="46"/>
        <v>581.87678399999993</v>
      </c>
      <c r="AD85" s="25">
        <f t="shared" si="47"/>
        <v>2327.5071359999997</v>
      </c>
      <c r="AE85" s="25">
        <f t="shared" si="48"/>
        <v>570.68000000000006</v>
      </c>
      <c r="AF85" s="25">
        <f t="shared" si="49"/>
        <v>616.33440000000007</v>
      </c>
      <c r="AG85" s="25">
        <f t="shared" si="50"/>
        <v>2465.3376000000003</v>
      </c>
      <c r="AH85" s="25">
        <f t="shared" si="51"/>
        <v>768.68</v>
      </c>
      <c r="AI85" s="25">
        <f t="shared" si="52"/>
        <v>830.17439999999999</v>
      </c>
      <c r="AJ85" s="25">
        <f t="shared" si="53"/>
        <v>3320.6976</v>
      </c>
      <c r="AK85" s="22">
        <f>Table1[[#This Row],[Total Selling Price / Unit (MVR)]]/Table1[[#This Row],[CNF / Unit
(MVR)]]</f>
        <v>2.1905805038335155</v>
      </c>
      <c r="AL85" s="34">
        <f>Table1[[#This Row],[Total Selling Price / Unit (MVR)]]-(Table1[[#This Row],[GST 8%
(MVR)]]+Table1[[#This Row],[Weighted max
expense (MVR)]])</f>
        <v>100.30766562367609</v>
      </c>
      <c r="AM85" s="35">
        <f>Table1[[#This Row],[Profit / Unit (MVR)]]*Table1[[#This Row],[Qty 
(NOS)]]</f>
        <v>401.23066249470435</v>
      </c>
      <c r="AN85"/>
      <c r="AO85"/>
    </row>
    <row r="86" spans="1:41" x14ac:dyDescent="0.25">
      <c r="A86" t="s">
        <v>90</v>
      </c>
      <c r="B86" s="17" t="s">
        <v>121</v>
      </c>
      <c r="C86" s="4">
        <v>4</v>
      </c>
      <c r="D86" s="7">
        <v>6.12</v>
      </c>
      <c r="E86" s="28">
        <v>24.48</v>
      </c>
      <c r="F86" s="28">
        <f t="shared" si="36"/>
        <v>134.64000000000001</v>
      </c>
      <c r="G86" s="4">
        <f t="shared" si="37"/>
        <v>538.56000000000006</v>
      </c>
      <c r="H86" s="28">
        <v>407.66</v>
      </c>
      <c r="I86" s="28">
        <v>375.76</v>
      </c>
      <c r="J86" s="40">
        <f t="shared" si="38"/>
        <v>124.9435014174754</v>
      </c>
      <c r="K86" s="31">
        <f>(F86/$G$92)*Costs!$B$23</f>
        <v>199.13057265659867</v>
      </c>
      <c r="L86" s="31">
        <f t="shared" si="39"/>
        <v>324.07407407407408</v>
      </c>
      <c r="M86" s="31">
        <f t="shared" si="40"/>
        <v>25.925925925925927</v>
      </c>
      <c r="N86" s="40">
        <v>350</v>
      </c>
      <c r="O86" s="25">
        <f>Table1[[#This Row],[Total Selling Price / Unit (MVR)]]*Table1[[#This Row],[Qty 
(NOS)]]</f>
        <v>1400</v>
      </c>
      <c r="P86" s="64"/>
      <c r="Q86" s="7">
        <v>7.14</v>
      </c>
      <c r="R86" s="28">
        <f t="shared" si="41"/>
        <v>157.07999999999998</v>
      </c>
      <c r="S86" s="28">
        <v>407.66</v>
      </c>
      <c r="T86" s="7">
        <v>18.53</v>
      </c>
      <c r="U86" s="7">
        <v>6.12</v>
      </c>
      <c r="V86" s="70">
        <v>134.64000000000001</v>
      </c>
      <c r="W86" s="28">
        <v>375.76</v>
      </c>
      <c r="X86" s="28">
        <v>350</v>
      </c>
      <c r="Y86" s="25">
        <f t="shared" si="42"/>
        <v>285.73259999999999</v>
      </c>
      <c r="Z86" s="25">
        <f t="shared" si="43"/>
        <v>308.59120799999999</v>
      </c>
      <c r="AA86" s="25">
        <f t="shared" si="44"/>
        <v>1234.364832</v>
      </c>
      <c r="AB86" s="25">
        <f t="shared" si="45"/>
        <v>424.51260000000002</v>
      </c>
      <c r="AC86" s="25">
        <f t="shared" si="46"/>
        <v>458.47360800000007</v>
      </c>
      <c r="AD86" s="25">
        <f t="shared" si="47"/>
        <v>1833.8944320000003</v>
      </c>
      <c r="AE86" s="25">
        <f t="shared" si="48"/>
        <v>407.66</v>
      </c>
      <c r="AF86" s="25">
        <f t="shared" si="49"/>
        <v>440.27280000000007</v>
      </c>
      <c r="AG86" s="25">
        <f t="shared" si="50"/>
        <v>1761.0912000000003</v>
      </c>
      <c r="AH86" s="25">
        <f t="shared" si="51"/>
        <v>605.66000000000008</v>
      </c>
      <c r="AI86" s="25">
        <f t="shared" si="52"/>
        <v>654.11280000000011</v>
      </c>
      <c r="AJ86" s="25">
        <f t="shared" si="53"/>
        <v>2616.4512000000004</v>
      </c>
      <c r="AK86" s="22">
        <f>Table1[[#This Row],[Total Selling Price / Unit (MVR)]]/Table1[[#This Row],[CNF / Unit
(MVR)]]</f>
        <v>2.5995246583481877</v>
      </c>
      <c r="AL86" s="36">
        <f>Table1[[#This Row],[Total Selling Price / Unit (MVR)]]-(Table1[[#This Row],[GST 8%
(MVR)]]+Table1[[#This Row],[Weighted max
expense (MVR)]])</f>
        <v>124.9435014174754</v>
      </c>
      <c r="AM86" s="37">
        <f>Table1[[#This Row],[Profit / Unit (MVR)]]*Table1[[#This Row],[Qty 
(NOS)]]</f>
        <v>499.77400566990161</v>
      </c>
      <c r="AN86"/>
      <c r="AO86"/>
    </row>
    <row r="87" spans="1:41" x14ac:dyDescent="0.25">
      <c r="A87" t="s">
        <v>103</v>
      </c>
      <c r="B87" s="17" t="s">
        <v>121</v>
      </c>
      <c r="C87" s="4">
        <v>4</v>
      </c>
      <c r="D87" s="7">
        <v>6.78</v>
      </c>
      <c r="E87" s="28">
        <v>27.12</v>
      </c>
      <c r="F87" s="28">
        <f t="shared" si="36"/>
        <v>149.16</v>
      </c>
      <c r="G87" s="4">
        <f t="shared" si="37"/>
        <v>596.64</v>
      </c>
      <c r="H87" s="28" t="s">
        <v>114</v>
      </c>
      <c r="I87" s="28">
        <v>331.54</v>
      </c>
      <c r="J87" s="39">
        <f t="shared" si="38"/>
        <v>149.7649320351189</v>
      </c>
      <c r="K87" s="30">
        <f>(F87/$G$92)*Costs!$B$23</f>
        <v>220.60543833525142</v>
      </c>
      <c r="L87" s="30">
        <f t="shared" si="39"/>
        <v>370.37037037037032</v>
      </c>
      <c r="M87" s="30">
        <f t="shared" si="40"/>
        <v>29.629629629629626</v>
      </c>
      <c r="N87" s="39">
        <v>400</v>
      </c>
      <c r="O87" s="25">
        <f>Table1[[#This Row],[Total Selling Price / Unit (MVR)]]*Table1[[#This Row],[Qty 
(NOS)]]</f>
        <v>1600</v>
      </c>
      <c r="P87" s="64"/>
      <c r="Q87" s="7">
        <v>55.71</v>
      </c>
      <c r="R87" s="28">
        <f t="shared" si="41"/>
        <v>1225.6200000000001</v>
      </c>
      <c r="S87" s="28" t="s">
        <v>114</v>
      </c>
      <c r="T87" s="61">
        <v>57.8</v>
      </c>
      <c r="U87" s="7">
        <v>6.78</v>
      </c>
      <c r="V87" s="69">
        <v>149.16</v>
      </c>
      <c r="W87" s="28">
        <v>331.54</v>
      </c>
      <c r="X87" s="28">
        <v>400</v>
      </c>
      <c r="Y87" s="25">
        <f t="shared" si="42"/>
        <v>891.27599999999995</v>
      </c>
      <c r="Z87" s="25">
        <f t="shared" si="43"/>
        <v>962.57808</v>
      </c>
      <c r="AA87" s="25">
        <f t="shared" si="44"/>
        <v>3850.31232</v>
      </c>
      <c r="AB87" s="25">
        <f t="shared" si="45"/>
        <v>1030.056</v>
      </c>
      <c r="AC87" s="25">
        <f t="shared" si="46"/>
        <v>1112.4604800000002</v>
      </c>
      <c r="AD87" s="25">
        <f t="shared" si="47"/>
        <v>4449.8419200000008</v>
      </c>
      <c r="AE87" s="25">
        <f t="shared" si="48"/>
        <v>1271.5999999999999</v>
      </c>
      <c r="AF87" s="25">
        <f t="shared" si="49"/>
        <v>1373.328</v>
      </c>
      <c r="AG87" s="25">
        <f t="shared" si="50"/>
        <v>5493.3119999999999</v>
      </c>
      <c r="AH87" s="25">
        <f t="shared" si="51"/>
        <v>1469.6</v>
      </c>
      <c r="AI87" s="25">
        <f t="shared" si="52"/>
        <v>1587.1679999999999</v>
      </c>
      <c r="AJ87" s="25">
        <f t="shared" si="53"/>
        <v>6348.6719999999996</v>
      </c>
      <c r="AK87" s="22">
        <f>Table1[[#This Row],[Total Selling Price / Unit (MVR)]]/Table1[[#This Row],[CNF / Unit
(MVR)]]</f>
        <v>2.6816840976133012</v>
      </c>
      <c r="AL87" s="34">
        <f>Table1[[#This Row],[Total Selling Price / Unit (MVR)]]-(Table1[[#This Row],[GST 8%
(MVR)]]+Table1[[#This Row],[Weighted max
expense (MVR)]])</f>
        <v>149.76493203511896</v>
      </c>
      <c r="AM87" s="35">
        <f>Table1[[#This Row],[Profit / Unit (MVR)]]*Table1[[#This Row],[Qty 
(NOS)]]</f>
        <v>599.05972814047584</v>
      </c>
      <c r="AN87"/>
      <c r="AO87"/>
    </row>
    <row r="88" spans="1:41" x14ac:dyDescent="0.25">
      <c r="A88" t="s">
        <v>71</v>
      </c>
      <c r="B88" s="17" t="s">
        <v>121</v>
      </c>
      <c r="C88" s="4">
        <v>4</v>
      </c>
      <c r="D88" s="7">
        <v>6.78</v>
      </c>
      <c r="E88" s="28">
        <v>27.12</v>
      </c>
      <c r="F88" s="28">
        <f t="shared" si="36"/>
        <v>149.16</v>
      </c>
      <c r="G88" s="4">
        <f t="shared" si="37"/>
        <v>596.64</v>
      </c>
      <c r="H88" s="28" t="s">
        <v>114</v>
      </c>
      <c r="I88" s="28">
        <v>331.54</v>
      </c>
      <c r="J88" s="40">
        <f t="shared" si="38"/>
        <v>149.7649320351189</v>
      </c>
      <c r="K88" s="31">
        <f>(F88/$G$92)*Costs!$B$23</f>
        <v>220.60543833525142</v>
      </c>
      <c r="L88" s="31">
        <f t="shared" si="39"/>
        <v>370.37037037037032</v>
      </c>
      <c r="M88" s="31">
        <f t="shared" si="40"/>
        <v>29.629629629629626</v>
      </c>
      <c r="N88" s="40">
        <v>400</v>
      </c>
      <c r="O88" s="25">
        <f>Table1[[#This Row],[Total Selling Price / Unit (MVR)]]*Table1[[#This Row],[Qty 
(NOS)]]</f>
        <v>1600</v>
      </c>
      <c r="P88" s="64"/>
      <c r="Q88" s="7">
        <v>55.71</v>
      </c>
      <c r="R88" s="28">
        <f t="shared" si="41"/>
        <v>1225.6200000000001</v>
      </c>
      <c r="S88" s="28" t="s">
        <v>114</v>
      </c>
      <c r="T88" s="61">
        <v>57.8</v>
      </c>
      <c r="U88" s="7">
        <v>6.78</v>
      </c>
      <c r="V88" s="70">
        <v>149.16</v>
      </c>
      <c r="W88" s="28">
        <v>331.54</v>
      </c>
      <c r="X88" s="29">
        <v>400</v>
      </c>
      <c r="Y88" s="25">
        <f t="shared" si="42"/>
        <v>891.27599999999995</v>
      </c>
      <c r="Z88" s="25">
        <f t="shared" si="43"/>
        <v>962.57808</v>
      </c>
      <c r="AA88" s="25">
        <f t="shared" si="44"/>
        <v>3850.31232</v>
      </c>
      <c r="AB88" s="25">
        <f t="shared" si="45"/>
        <v>1030.056</v>
      </c>
      <c r="AC88" s="25">
        <f t="shared" si="46"/>
        <v>1112.4604800000002</v>
      </c>
      <c r="AD88" s="25">
        <f t="shared" si="47"/>
        <v>4449.8419200000008</v>
      </c>
      <c r="AE88" s="25">
        <f t="shared" si="48"/>
        <v>1271.5999999999999</v>
      </c>
      <c r="AF88" s="25">
        <f t="shared" si="49"/>
        <v>1373.328</v>
      </c>
      <c r="AG88" s="25">
        <f t="shared" si="50"/>
        <v>5493.3119999999999</v>
      </c>
      <c r="AH88" s="25">
        <f t="shared" si="51"/>
        <v>1469.6</v>
      </c>
      <c r="AI88" s="25">
        <f t="shared" si="52"/>
        <v>1587.1679999999999</v>
      </c>
      <c r="AJ88" s="25">
        <f t="shared" si="53"/>
        <v>6348.6719999999996</v>
      </c>
      <c r="AK88" s="22">
        <f>Table1[[#This Row],[Total Selling Price / Unit (MVR)]]/Table1[[#This Row],[CNF / Unit
(MVR)]]</f>
        <v>2.6816840976133012</v>
      </c>
      <c r="AL88" s="36">
        <f>Table1[[#This Row],[Total Selling Price / Unit (MVR)]]-(Table1[[#This Row],[GST 8%
(MVR)]]+Table1[[#This Row],[Weighted max
expense (MVR)]])</f>
        <v>149.76493203511896</v>
      </c>
      <c r="AM88" s="37">
        <f>Table1[[#This Row],[Profit / Unit (MVR)]]*Table1[[#This Row],[Qty 
(NOS)]]</f>
        <v>599.05972814047584</v>
      </c>
      <c r="AN88"/>
      <c r="AO88"/>
    </row>
    <row r="89" spans="1:41" x14ac:dyDescent="0.25">
      <c r="A89" t="s">
        <v>45</v>
      </c>
      <c r="B89" s="17" t="s">
        <v>121</v>
      </c>
      <c r="C89" s="4">
        <v>7</v>
      </c>
      <c r="D89" s="7">
        <v>6.78</v>
      </c>
      <c r="E89" s="28">
        <v>47.46</v>
      </c>
      <c r="F89" s="28">
        <f t="shared" si="36"/>
        <v>149.16</v>
      </c>
      <c r="G89" s="4">
        <f t="shared" si="37"/>
        <v>1044.1199999999999</v>
      </c>
      <c r="H89" s="28" t="s">
        <v>114</v>
      </c>
      <c r="I89" s="28">
        <v>339.9</v>
      </c>
      <c r="J89" s="39">
        <f t="shared" si="38"/>
        <v>334.95011722030415</v>
      </c>
      <c r="K89" s="30">
        <f>(F89/$G$92)*Costs!$B$23</f>
        <v>220.60543833525142</v>
      </c>
      <c r="L89" s="30">
        <f t="shared" si="39"/>
        <v>555.55555555555554</v>
      </c>
      <c r="M89" s="30">
        <f t="shared" si="40"/>
        <v>44.444444444444443</v>
      </c>
      <c r="N89" s="39">
        <v>600</v>
      </c>
      <c r="O89" s="25">
        <f>Table1[[#This Row],[Total Selling Price / Unit (MVR)]]*Table1[[#This Row],[Qty 
(NOS)]]</f>
        <v>4200</v>
      </c>
      <c r="P89" s="64"/>
      <c r="Q89" s="7">
        <v>55.71</v>
      </c>
      <c r="R89" s="28">
        <f t="shared" si="41"/>
        <v>1225.6200000000001</v>
      </c>
      <c r="S89" s="28" t="s">
        <v>114</v>
      </c>
      <c r="T89" s="61">
        <v>57.8</v>
      </c>
      <c r="U89" s="7">
        <v>6.78</v>
      </c>
      <c r="V89" s="69">
        <v>149.16</v>
      </c>
      <c r="W89" s="28">
        <v>339.9</v>
      </c>
      <c r="X89" s="28">
        <v>600</v>
      </c>
      <c r="Y89" s="25">
        <f t="shared" si="42"/>
        <v>891.27599999999995</v>
      </c>
      <c r="Z89" s="25">
        <f t="shared" si="43"/>
        <v>962.57808</v>
      </c>
      <c r="AA89" s="25">
        <f t="shared" si="44"/>
        <v>6738.0465599999998</v>
      </c>
      <c r="AB89" s="25">
        <f t="shared" si="45"/>
        <v>1030.056</v>
      </c>
      <c r="AC89" s="25">
        <f t="shared" si="46"/>
        <v>1112.4604800000002</v>
      </c>
      <c r="AD89" s="25">
        <f t="shared" si="47"/>
        <v>7787.2233600000018</v>
      </c>
      <c r="AE89" s="25">
        <f t="shared" si="48"/>
        <v>1271.5999999999999</v>
      </c>
      <c r="AF89" s="25">
        <f t="shared" si="49"/>
        <v>1373.328</v>
      </c>
      <c r="AG89" s="25">
        <f t="shared" si="50"/>
        <v>9613.2960000000003</v>
      </c>
      <c r="AH89" s="25">
        <f t="shared" si="51"/>
        <v>1469.6</v>
      </c>
      <c r="AI89" s="25">
        <f t="shared" si="52"/>
        <v>1587.1679999999999</v>
      </c>
      <c r="AJ89" s="25">
        <f t="shared" si="53"/>
        <v>11110.175999999999</v>
      </c>
      <c r="AK89" s="22">
        <f>Table1[[#This Row],[Total Selling Price / Unit (MVR)]]/Table1[[#This Row],[CNF / Unit
(MVR)]]</f>
        <v>4.0225261464199518</v>
      </c>
      <c r="AL89" s="34">
        <f>Table1[[#This Row],[Total Selling Price / Unit (MVR)]]-(Table1[[#This Row],[GST 8%
(MVR)]]+Table1[[#This Row],[Weighted max
expense (MVR)]])</f>
        <v>334.95011722030415</v>
      </c>
      <c r="AM89" s="35">
        <f>Table1[[#This Row],[Profit / Unit (MVR)]]*Table1[[#This Row],[Qty 
(NOS)]]</f>
        <v>2344.6508205421292</v>
      </c>
      <c r="AN89"/>
      <c r="AO89"/>
    </row>
    <row r="90" spans="1:41" x14ac:dyDescent="0.25">
      <c r="A90" t="s">
        <v>65</v>
      </c>
      <c r="B90" s="17" t="s">
        <v>121</v>
      </c>
      <c r="C90" s="4">
        <v>4</v>
      </c>
      <c r="D90" s="7">
        <v>8.98</v>
      </c>
      <c r="E90" s="28">
        <v>35.92</v>
      </c>
      <c r="F90" s="28">
        <f t="shared" si="36"/>
        <v>197.56</v>
      </c>
      <c r="G90" s="4">
        <f t="shared" si="37"/>
        <v>790.24</v>
      </c>
      <c r="H90" s="28">
        <v>1271.5999999999999</v>
      </c>
      <c r="I90" s="28">
        <v>358.16</v>
      </c>
      <c r="J90" s="40">
        <f t="shared" si="38"/>
        <v>124.47834273590587</v>
      </c>
      <c r="K90" s="31">
        <f>(F90/$G$92)*Costs!$B$23</f>
        <v>292.18832393076076</v>
      </c>
      <c r="L90" s="31">
        <f t="shared" si="39"/>
        <v>416.66666666666663</v>
      </c>
      <c r="M90" s="31">
        <f t="shared" si="40"/>
        <v>33.333333333333329</v>
      </c>
      <c r="N90" s="40">
        <v>450</v>
      </c>
      <c r="O90" s="25">
        <f>Table1[[#This Row],[Total Selling Price / Unit (MVR)]]*Table1[[#This Row],[Qty 
(NOS)]]</f>
        <v>1800</v>
      </c>
      <c r="P90" s="64"/>
      <c r="Q90" s="7">
        <v>55.71</v>
      </c>
      <c r="R90" s="28">
        <f t="shared" si="41"/>
        <v>1225.6200000000001</v>
      </c>
      <c r="S90" s="28">
        <v>1271.5999999999999</v>
      </c>
      <c r="T90" s="7">
        <v>57.8</v>
      </c>
      <c r="U90" s="7">
        <v>8.98</v>
      </c>
      <c r="V90" s="70">
        <v>197.56</v>
      </c>
      <c r="W90" s="28">
        <v>358.16</v>
      </c>
      <c r="X90" s="28">
        <v>450</v>
      </c>
      <c r="Y90" s="25">
        <f t="shared" si="42"/>
        <v>891.27599999999995</v>
      </c>
      <c r="Z90" s="25">
        <f t="shared" si="43"/>
        <v>962.57808</v>
      </c>
      <c r="AA90" s="25">
        <f t="shared" si="44"/>
        <v>3850.31232</v>
      </c>
      <c r="AB90" s="25">
        <f t="shared" si="45"/>
        <v>1030.056</v>
      </c>
      <c r="AC90" s="25">
        <f t="shared" si="46"/>
        <v>1112.4604800000002</v>
      </c>
      <c r="AD90" s="25">
        <f t="shared" si="47"/>
        <v>4449.8419200000008</v>
      </c>
      <c r="AE90" s="25">
        <f t="shared" si="48"/>
        <v>1271.5999999999999</v>
      </c>
      <c r="AF90" s="25">
        <f t="shared" si="49"/>
        <v>1373.328</v>
      </c>
      <c r="AG90" s="25">
        <f t="shared" si="50"/>
        <v>5493.3119999999999</v>
      </c>
      <c r="AH90" s="25">
        <f t="shared" si="51"/>
        <v>1469.6</v>
      </c>
      <c r="AI90" s="25">
        <f t="shared" si="52"/>
        <v>1587.1679999999999</v>
      </c>
      <c r="AJ90" s="25">
        <f t="shared" si="53"/>
        <v>6348.6719999999996</v>
      </c>
      <c r="AK90" s="22">
        <f>Table1[[#This Row],[Total Selling Price / Unit (MVR)]]/Table1[[#This Row],[CNF / Unit
(MVR)]]</f>
        <v>2.2777890261186475</v>
      </c>
      <c r="AL90" s="36">
        <f>Table1[[#This Row],[Total Selling Price / Unit (MVR)]]-(Table1[[#This Row],[GST 8%
(MVR)]]+Table1[[#This Row],[Weighted max
expense (MVR)]])</f>
        <v>124.47834273590593</v>
      </c>
      <c r="AM90" s="37">
        <f>Table1[[#This Row],[Profit / Unit (MVR)]]*Table1[[#This Row],[Qty 
(NOS)]]</f>
        <v>497.9133709436237</v>
      </c>
      <c r="AN90"/>
      <c r="AO90"/>
    </row>
    <row r="91" spans="1:41" x14ac:dyDescent="0.25">
      <c r="A91" t="s">
        <v>85</v>
      </c>
      <c r="B91" s="79" t="s">
        <v>121</v>
      </c>
      <c r="C91" s="4">
        <v>4</v>
      </c>
      <c r="D91" s="7">
        <v>8.98</v>
      </c>
      <c r="E91" s="28">
        <v>35.92</v>
      </c>
      <c r="F91" s="28">
        <f t="shared" si="36"/>
        <v>197.56</v>
      </c>
      <c r="G91" s="4">
        <f t="shared" si="37"/>
        <v>790.24</v>
      </c>
      <c r="H91" s="28">
        <v>1271.5999999999999</v>
      </c>
      <c r="I91" s="28">
        <v>426.14000000000004</v>
      </c>
      <c r="J91" s="39">
        <f t="shared" si="38"/>
        <v>170.77463903220217</v>
      </c>
      <c r="K91" s="30">
        <f>(F91/$G$92)*Costs!$B$23</f>
        <v>292.18832393076076</v>
      </c>
      <c r="L91" s="30">
        <f t="shared" si="39"/>
        <v>462.96296296296293</v>
      </c>
      <c r="M91" s="30">
        <f t="shared" si="40"/>
        <v>37.037037037037038</v>
      </c>
      <c r="N91" s="39">
        <v>500</v>
      </c>
      <c r="O91" s="25">
        <f>Table1[[#This Row],[Total Selling Price / Unit (MVR)]]*Table1[[#This Row],[Qty 
(NOS)]]</f>
        <v>2000</v>
      </c>
      <c r="P91" s="64"/>
      <c r="Q91" s="7">
        <v>55.71</v>
      </c>
      <c r="R91" s="28">
        <f t="shared" si="41"/>
        <v>1225.6200000000001</v>
      </c>
      <c r="S91" s="28">
        <v>1271.5999999999999</v>
      </c>
      <c r="T91" s="7">
        <v>57.8</v>
      </c>
      <c r="U91" s="7">
        <v>8.98</v>
      </c>
      <c r="V91" s="69">
        <v>197.56</v>
      </c>
      <c r="W91" s="28">
        <v>426.14000000000004</v>
      </c>
      <c r="X91" s="28">
        <v>500</v>
      </c>
      <c r="Y91" s="25">
        <f t="shared" si="42"/>
        <v>891.27599999999995</v>
      </c>
      <c r="Z91" s="25">
        <f t="shared" si="43"/>
        <v>962.57808</v>
      </c>
      <c r="AA91" s="25">
        <f t="shared" si="44"/>
        <v>3850.31232</v>
      </c>
      <c r="AB91" s="25">
        <f t="shared" si="45"/>
        <v>1030.056</v>
      </c>
      <c r="AC91" s="25">
        <f t="shared" si="46"/>
        <v>1112.4604800000002</v>
      </c>
      <c r="AD91" s="25">
        <f t="shared" si="47"/>
        <v>4449.8419200000008</v>
      </c>
      <c r="AE91" s="25">
        <f t="shared" si="48"/>
        <v>1271.5999999999999</v>
      </c>
      <c r="AF91" s="25">
        <f t="shared" si="49"/>
        <v>1373.328</v>
      </c>
      <c r="AG91" s="25">
        <f t="shared" si="50"/>
        <v>5493.3119999999999</v>
      </c>
      <c r="AH91" s="25">
        <f t="shared" si="51"/>
        <v>1469.6</v>
      </c>
      <c r="AI91" s="25">
        <f t="shared" si="52"/>
        <v>1587.1679999999999</v>
      </c>
      <c r="AJ91" s="25">
        <f t="shared" si="53"/>
        <v>6348.6719999999996</v>
      </c>
      <c r="AK91" s="22">
        <f>Table1[[#This Row],[Total Selling Price / Unit (MVR)]]/Table1[[#This Row],[CNF / Unit
(MVR)]]</f>
        <v>2.530876695687386</v>
      </c>
      <c r="AL91" s="34">
        <f>Table1[[#This Row],[Total Selling Price / Unit (MVR)]]-(Table1[[#This Row],[GST 8%
(MVR)]]+Table1[[#This Row],[Weighted max
expense (MVR)]])</f>
        <v>170.77463903220223</v>
      </c>
      <c r="AM91" s="35">
        <f>Table1[[#This Row],[Profit / Unit (MVR)]]*Table1[[#This Row],[Qty 
(NOS)]]</f>
        <v>683.09855612880892</v>
      </c>
      <c r="AN91"/>
      <c r="AO91"/>
    </row>
    <row r="92" spans="1:41" thickBot="1" x14ac:dyDescent="0.3">
      <c r="A92" s="46" t="s">
        <v>22</v>
      </c>
      <c r="B92" s="50"/>
      <c r="C92" s="46">
        <v>422</v>
      </c>
      <c r="D92" s="47">
        <f>SUM(D3:D91)</f>
        <v>460.45000000000005</v>
      </c>
      <c r="E92" s="47">
        <v>2136.63</v>
      </c>
      <c r="F92" s="48">
        <f>SUM(F3:F91)</f>
        <v>10129.899999999994</v>
      </c>
      <c r="G92" s="48">
        <f>SUM(G3:G91)</f>
        <v>46834.7</v>
      </c>
      <c r="H92" s="49"/>
      <c r="I92" s="49"/>
      <c r="J92" s="42">
        <f t="shared" si="38"/>
        <v>12124.508903094089</v>
      </c>
      <c r="K92" s="43">
        <f t="shared" ref="K92:P92" si="54">SUM(K3:K91)</f>
        <v>14981.972578387389</v>
      </c>
      <c r="L92" s="43">
        <f t="shared" si="54"/>
        <v>27106.481481481478</v>
      </c>
      <c r="M92" s="43">
        <f t="shared" si="54"/>
        <v>2168.5185185185169</v>
      </c>
      <c r="N92" s="85">
        <f t="shared" si="54"/>
        <v>29275</v>
      </c>
      <c r="O92" s="44">
        <f t="shared" si="54"/>
        <v>136161</v>
      </c>
      <c r="P92" s="62">
        <f t="shared" si="54"/>
        <v>0</v>
      </c>
      <c r="Q92" s="44">
        <f t="shared" ref="Q92:S92" si="55">SUM(Q3:Q91)</f>
        <v>2099.8999999999992</v>
      </c>
      <c r="R92" s="62">
        <f t="shared" si="55"/>
        <v>46197.800000000039</v>
      </c>
      <c r="S92" s="62">
        <f t="shared" si="55"/>
        <v>40557.220000000052</v>
      </c>
      <c r="T92" s="47">
        <f t="shared" ref="T92" si="56">SUM(T3:T91)</f>
        <v>2269.3600000000006</v>
      </c>
      <c r="U92" s="47">
        <f>SUM(U3:U91)</f>
        <v>460.45000000000005</v>
      </c>
      <c r="V92" s="71">
        <v>10129.899999999994</v>
      </c>
      <c r="W92" s="62">
        <f t="shared" ref="W92:Y92" si="57">SUM(W3:W91)</f>
        <v>21941.399999999991</v>
      </c>
      <c r="X92" s="44">
        <f t="shared" si="57"/>
        <v>29275</v>
      </c>
      <c r="Y92" s="44">
        <f t="shared" si="57"/>
        <v>34993.53119999999</v>
      </c>
      <c r="Z92" s="62">
        <f t="shared" ref="Z92:AJ92" si="58">SUM(Z3:Z91)</f>
        <v>37793.013695999995</v>
      </c>
      <c r="AA92" s="81">
        <f t="shared" si="58"/>
        <v>170851.78043999989</v>
      </c>
      <c r="AB92" s="44">
        <f t="shared" si="58"/>
        <v>47344.951199999981</v>
      </c>
      <c r="AC92" s="62">
        <f t="shared" si="58"/>
        <v>51132.547296000019</v>
      </c>
      <c r="AD92" s="82">
        <f t="shared" si="58"/>
        <v>233802.3884400001</v>
      </c>
      <c r="AE92" s="44">
        <f t="shared" si="58"/>
        <v>49925.920000000049</v>
      </c>
      <c r="AF92" s="62">
        <f t="shared" si="58"/>
        <v>53919.993599999994</v>
      </c>
      <c r="AG92" s="83">
        <f t="shared" si="58"/>
        <v>243757.4040000001</v>
      </c>
      <c r="AH92" s="44">
        <f t="shared" si="58"/>
        <v>67547.920000000056</v>
      </c>
      <c r="AI92" s="62">
        <f t="shared" si="58"/>
        <v>72951.753600000098</v>
      </c>
      <c r="AJ92" s="84">
        <f t="shared" si="58"/>
        <v>333570.20400000026</v>
      </c>
      <c r="AK92" s="45">
        <f>(SUM(AK3:AK91)/89)</f>
        <v>3.2987643263354016</v>
      </c>
      <c r="AL92" s="42">
        <f>SUM(AL3:AL91)</f>
        <v>12124.508903094089</v>
      </c>
      <c r="AM92" s="42">
        <f>SUM(AM3:AM91)</f>
        <v>56807.17</v>
      </c>
      <c r="AN92"/>
      <c r="AO92"/>
    </row>
    <row r="93" spans="1:41" ht="67.150000000000006" hidden="1" customHeight="1" thickTop="1" thickBot="1" x14ac:dyDescent="0.3">
      <c r="N93" s="86" t="s">
        <v>185</v>
      </c>
      <c r="O93" s="38" t="s">
        <v>175</v>
      </c>
      <c r="P93" s="67" t="s">
        <v>180</v>
      </c>
      <c r="Q93" s="5"/>
      <c r="R93" s="67" t="s">
        <v>177</v>
      </c>
      <c r="S93" s="67" t="s">
        <v>178</v>
      </c>
      <c r="T93" s="5"/>
      <c r="U93" s="5"/>
      <c r="V93" s="5" t="s">
        <v>179</v>
      </c>
      <c r="W93" s="67" t="s">
        <v>181</v>
      </c>
      <c r="Y93" s="80" t="s">
        <v>165</v>
      </c>
      <c r="Z93" s="87" t="s">
        <v>184</v>
      </c>
      <c r="AA93" s="74" t="s">
        <v>168</v>
      </c>
      <c r="AB93" s="75" t="s">
        <v>164</v>
      </c>
      <c r="AC93" s="88" t="s">
        <v>184</v>
      </c>
      <c r="AD93" s="76" t="s">
        <v>169</v>
      </c>
      <c r="AE93" s="77" t="s">
        <v>166</v>
      </c>
      <c r="AF93" s="89" t="s">
        <v>184</v>
      </c>
      <c r="AG93" s="77" t="s">
        <v>170</v>
      </c>
      <c r="AH93" s="78" t="s">
        <v>167</v>
      </c>
      <c r="AI93" s="90" t="s">
        <v>184</v>
      </c>
      <c r="AJ93" s="78" t="s">
        <v>171</v>
      </c>
    </row>
    <row r="94" spans="1:41" ht="16.5" thickTop="1" x14ac:dyDescent="0.25"/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BAB0-692D-4209-88EF-4DD38ABB6250}">
  <sheetPr>
    <tabColor rgb="FF92D050"/>
  </sheetPr>
  <dimension ref="A1:AU94"/>
  <sheetViews>
    <sheetView tabSelected="1" zoomScale="80" zoomScaleNormal="80" workbookViewId="0">
      <pane xSplit="1" ySplit="2" topLeftCell="B29" activePane="bottomRight" state="frozen"/>
      <selection pane="topRight" activeCell="B1" sqref="B1"/>
      <selection pane="bottomLeft" activeCell="A3" sqref="A3"/>
      <selection pane="bottomRight" activeCell="AT55" sqref="AT55"/>
    </sheetView>
  </sheetViews>
  <sheetFormatPr defaultColWidth="8.85546875" defaultRowHeight="15.75" x14ac:dyDescent="0.25"/>
  <cols>
    <col min="1" max="1" width="49.140625" bestFit="1" customWidth="1"/>
    <col min="2" max="2" width="19.7109375" bestFit="1" customWidth="1"/>
    <col min="3" max="3" width="8.42578125" bestFit="1" customWidth="1"/>
    <col min="4" max="4" width="14" style="8" hidden="1" customWidth="1"/>
    <col min="5" max="5" width="16.5703125" hidden="1" customWidth="1"/>
    <col min="6" max="7" width="15.42578125" hidden="1" customWidth="1"/>
    <col min="8" max="8" width="14.7109375" hidden="1" customWidth="1"/>
    <col min="9" max="9" width="17.140625" style="4" hidden="1" customWidth="1"/>
    <col min="10" max="10" width="14.7109375" hidden="1" customWidth="1"/>
    <col min="11" max="11" width="15.42578125" hidden="1" customWidth="1"/>
    <col min="12" max="12" width="16.140625" hidden="1" customWidth="1"/>
    <col min="13" max="13" width="13.5703125" hidden="1" customWidth="1"/>
    <col min="14" max="14" width="15.28515625" style="10" customWidth="1"/>
    <col min="15" max="16" width="16" style="10" hidden="1" customWidth="1"/>
    <col min="17" max="18" width="13.85546875" style="10" customWidth="1"/>
    <col min="19" max="20" width="15.7109375" style="10" hidden="1" customWidth="1"/>
    <col min="21" max="21" width="16" style="10" hidden="1" customWidth="1"/>
    <col min="22" max="22" width="16.28515625" style="10" hidden="1" customWidth="1"/>
    <col min="23" max="23" width="10.28515625" style="10" hidden="1" customWidth="1"/>
    <col min="24" max="24" width="13.7109375" style="10" hidden="1" customWidth="1"/>
    <col min="25" max="25" width="14.5703125" style="10" customWidth="1"/>
    <col min="26" max="26" width="13.5703125" style="10" hidden="1" customWidth="1"/>
    <col min="27" max="27" width="14.7109375" style="10" hidden="1" customWidth="1"/>
    <col min="28" max="28" width="14.5703125" style="10" hidden="1" customWidth="1"/>
    <col min="29" max="29" width="16.28515625" style="10" hidden="1" customWidth="1"/>
    <col min="30" max="30" width="14.140625" style="10" hidden="1" customWidth="1"/>
    <col min="31" max="31" width="14.5703125" style="10" hidden="1" customWidth="1"/>
    <col min="32" max="32" width="14.28515625" style="10" hidden="1" customWidth="1"/>
    <col min="33" max="33" width="16.28515625" style="10" hidden="1" customWidth="1"/>
    <col min="34" max="34" width="14.5703125" style="10" customWidth="1"/>
    <col min="35" max="35" width="13.42578125" style="10" hidden="1" customWidth="1"/>
    <col min="36" max="36" width="13.7109375" style="10" hidden="1" customWidth="1"/>
    <col min="37" max="37" width="14.7109375" style="10" hidden="1" customWidth="1"/>
    <col min="38" max="38" width="13.42578125" style="10" hidden="1" customWidth="1"/>
    <col min="39" max="39" width="13.7109375" hidden="1" customWidth="1"/>
    <col min="40" max="40" width="14.5703125" customWidth="1"/>
    <col min="41" max="41" width="14.5703125" hidden="1" customWidth="1"/>
    <col min="42" max="42" width="0.28515625" style="10" hidden="1" customWidth="1"/>
    <col min="43" max="43" width="16.28515625" style="10" customWidth="1"/>
    <col min="44" max="44" width="13.28515625" style="10" customWidth="1"/>
    <col min="45" max="45" width="15.28515625" style="9" customWidth="1"/>
    <col min="46" max="46" width="15.28515625" style="11" customWidth="1"/>
    <col min="47" max="47" width="27.85546875" bestFit="1" customWidth="1"/>
    <col min="48" max="48" width="11.7109375" bestFit="1" customWidth="1"/>
  </cols>
  <sheetData>
    <row r="1" spans="1:47" ht="59.45" customHeight="1" thickBot="1" x14ac:dyDescent="0.3">
      <c r="A1" s="4" t="s">
        <v>21</v>
      </c>
      <c r="B1" s="4" t="s">
        <v>115</v>
      </c>
      <c r="C1" s="5" t="s">
        <v>145</v>
      </c>
      <c r="D1" s="6" t="s">
        <v>140</v>
      </c>
      <c r="E1" s="5" t="s">
        <v>139</v>
      </c>
      <c r="F1" s="5" t="s">
        <v>134</v>
      </c>
      <c r="G1" s="5" t="s">
        <v>135</v>
      </c>
      <c r="H1" s="5" t="s">
        <v>146</v>
      </c>
      <c r="I1" s="5" t="s">
        <v>133</v>
      </c>
      <c r="J1" s="38" t="s">
        <v>182</v>
      </c>
      <c r="K1" s="32" t="s">
        <v>138</v>
      </c>
      <c r="L1" s="32" t="s">
        <v>136</v>
      </c>
      <c r="M1" s="32" t="s">
        <v>137</v>
      </c>
      <c r="N1" s="38" t="s">
        <v>141</v>
      </c>
      <c r="O1" s="5" t="s">
        <v>142</v>
      </c>
      <c r="P1" s="5" t="s">
        <v>198</v>
      </c>
      <c r="Q1" s="5" t="s">
        <v>196</v>
      </c>
      <c r="R1" s="5" t="s">
        <v>194</v>
      </c>
      <c r="S1" s="5" t="s">
        <v>152</v>
      </c>
      <c r="T1" s="5" t="s">
        <v>176</v>
      </c>
      <c r="U1" s="5" t="s">
        <v>154</v>
      </c>
      <c r="V1" s="5" t="s">
        <v>153</v>
      </c>
      <c r="W1" s="6" t="s">
        <v>151</v>
      </c>
      <c r="X1" s="6" t="s">
        <v>190</v>
      </c>
      <c r="Y1" s="6" t="s">
        <v>192</v>
      </c>
      <c r="Z1" s="6" t="s">
        <v>187</v>
      </c>
      <c r="AA1" s="68" t="s">
        <v>173</v>
      </c>
      <c r="AB1" s="5" t="s">
        <v>174</v>
      </c>
      <c r="AC1" s="63" t="s">
        <v>163</v>
      </c>
      <c r="AD1" s="63" t="s">
        <v>147</v>
      </c>
      <c r="AE1" s="63" t="s">
        <v>148</v>
      </c>
      <c r="AF1" s="63" t="s">
        <v>159</v>
      </c>
      <c r="AG1" s="63" t="s">
        <v>155</v>
      </c>
      <c r="AH1" s="63" t="s">
        <v>156</v>
      </c>
      <c r="AI1" s="63" t="s">
        <v>160</v>
      </c>
      <c r="AJ1" s="63" t="s">
        <v>157</v>
      </c>
      <c r="AK1" s="63" t="s">
        <v>158</v>
      </c>
      <c r="AL1" s="63" t="s">
        <v>161</v>
      </c>
      <c r="AM1" s="63" t="s">
        <v>149</v>
      </c>
      <c r="AN1" s="63" t="s">
        <v>150</v>
      </c>
      <c r="AO1" s="63" t="s">
        <v>162</v>
      </c>
      <c r="AP1" s="5" t="s">
        <v>144</v>
      </c>
      <c r="AQ1" s="33" t="s">
        <v>183</v>
      </c>
      <c r="AR1" s="56" t="s">
        <v>143</v>
      </c>
      <c r="AS1"/>
      <c r="AT1"/>
    </row>
    <row r="2" spans="1:47" ht="67.150000000000006" customHeight="1" thickBot="1" x14ac:dyDescent="0.3">
      <c r="N2" s="86" t="s">
        <v>185</v>
      </c>
      <c r="O2" s="38" t="s">
        <v>175</v>
      </c>
      <c r="P2" s="67" t="s">
        <v>197</v>
      </c>
      <c r="Q2" s="96" t="s">
        <v>193</v>
      </c>
      <c r="R2" s="96" t="s">
        <v>195</v>
      </c>
      <c r="S2" s="5"/>
      <c r="T2" s="67" t="s">
        <v>186</v>
      </c>
      <c r="U2" s="67" t="s">
        <v>178</v>
      </c>
      <c r="V2" s="5"/>
      <c r="W2" s="5"/>
      <c r="X2" s="5" t="s">
        <v>189</v>
      </c>
      <c r="Y2" s="67" t="s">
        <v>191</v>
      </c>
      <c r="Z2" s="5" t="s">
        <v>188</v>
      </c>
      <c r="AA2" s="95" t="s">
        <v>179</v>
      </c>
      <c r="AB2" s="67" t="s">
        <v>181</v>
      </c>
      <c r="AD2" s="73" t="s">
        <v>165</v>
      </c>
      <c r="AE2" s="87" t="s">
        <v>184</v>
      </c>
      <c r="AF2" s="74" t="s">
        <v>168</v>
      </c>
      <c r="AG2" s="75" t="s">
        <v>164</v>
      </c>
      <c r="AH2" s="88" t="s">
        <v>184</v>
      </c>
      <c r="AI2" s="76" t="s">
        <v>169</v>
      </c>
      <c r="AJ2" s="77" t="s">
        <v>166</v>
      </c>
      <c r="AK2" s="89" t="s">
        <v>184</v>
      </c>
      <c r="AL2" s="77" t="s">
        <v>170</v>
      </c>
      <c r="AM2" s="78" t="s">
        <v>167</v>
      </c>
      <c r="AN2" s="90" t="s">
        <v>184</v>
      </c>
      <c r="AO2" s="78" t="s">
        <v>171</v>
      </c>
    </row>
    <row r="3" spans="1:47" ht="16.5" thickBot="1" x14ac:dyDescent="0.3">
      <c r="A3" t="s">
        <v>48</v>
      </c>
      <c r="B3" s="12" t="s">
        <v>116</v>
      </c>
      <c r="C3" s="4">
        <v>4</v>
      </c>
      <c r="D3" s="7">
        <v>7.06</v>
      </c>
      <c r="E3" s="28">
        <v>28.24</v>
      </c>
      <c r="F3" s="28">
        <f t="shared" ref="F3:F34" si="0">D3*22</f>
        <v>155.32</v>
      </c>
      <c r="G3" s="4">
        <f t="shared" ref="G3:G34" si="1">SUM(F3*C3)</f>
        <v>621.28</v>
      </c>
      <c r="H3" s="28">
        <v>487.52</v>
      </c>
      <c r="I3" s="28">
        <v>322.74</v>
      </c>
      <c r="J3" s="39">
        <f t="shared" ref="J3:J34" si="2">L3-K3</f>
        <v>140.6543829593268</v>
      </c>
      <c r="K3" s="30">
        <f>(F3/$G$92)*Costs!$B$23</f>
        <v>229.71598741104353</v>
      </c>
      <c r="L3" s="30">
        <f t="shared" ref="L3:L34" si="3">N3/1.08</f>
        <v>370.37037037037032</v>
      </c>
      <c r="M3" s="30">
        <f t="shared" ref="M3:M34" si="4">L3*0.08</f>
        <v>29.629629629629626</v>
      </c>
      <c r="N3" s="39">
        <v>400</v>
      </c>
      <c r="O3" s="25">
        <f>Table13[[#This Row],[Total Selling Price / Unit (MVR)]]*Table13[[#This Row],[Qty 
(NOS)]]</f>
        <v>1600</v>
      </c>
      <c r="P3" s="64">
        <f>Q3*C3</f>
        <v>1600</v>
      </c>
      <c r="Q3" s="64">
        <v>400</v>
      </c>
      <c r="R3" s="64">
        <f>Q3*0.8</f>
        <v>320</v>
      </c>
      <c r="S3" s="7">
        <v>21.36</v>
      </c>
      <c r="T3" s="28">
        <f>S3*22</f>
        <v>469.91999999999996</v>
      </c>
      <c r="U3" s="28">
        <v>487.52</v>
      </c>
      <c r="V3" s="7">
        <v>22.16</v>
      </c>
      <c r="W3" s="7">
        <v>7.06</v>
      </c>
      <c r="X3" s="28">
        <f t="shared" ref="X3:X34" si="5">Z3*C3</f>
        <v>1242.56</v>
      </c>
      <c r="Y3" s="28">
        <v>315</v>
      </c>
      <c r="Z3" s="60">
        <f>AA3*2</f>
        <v>310.64</v>
      </c>
      <c r="AA3" s="69">
        <v>155.32</v>
      </c>
      <c r="AB3" s="28">
        <v>322.74</v>
      </c>
      <c r="AC3" s="28">
        <v>400</v>
      </c>
      <c r="AD3" s="25">
        <f t="shared" ref="AD3:AD34" si="6">V3*15.42</f>
        <v>341.7072</v>
      </c>
      <c r="AE3" s="25">
        <f t="shared" ref="AE3:AE66" si="7">AD3*1.08</f>
        <v>369.04377600000004</v>
      </c>
      <c r="AF3" s="25">
        <f t="shared" ref="AF3:AF34" si="8">C3*AE3</f>
        <v>1476.1751040000001</v>
      </c>
      <c r="AG3" s="25">
        <f t="shared" ref="AG3:AG34" si="9">(V3+9)*15.42</f>
        <v>480.48719999999997</v>
      </c>
      <c r="AH3" s="25">
        <f t="shared" ref="AH3:AH66" si="10">AG3*1.08</f>
        <v>518.92617600000005</v>
      </c>
      <c r="AI3" s="25">
        <f t="shared" ref="AI3:AI34" si="11">C3*AH3</f>
        <v>2075.7047040000002</v>
      </c>
      <c r="AJ3" s="25">
        <f t="shared" ref="AJ3:AJ66" si="12">V3*22</f>
        <v>487.52</v>
      </c>
      <c r="AK3" s="25">
        <f t="shared" ref="AK3:AK66" si="13">AJ3*1.08</f>
        <v>526.52160000000003</v>
      </c>
      <c r="AL3" s="25">
        <f t="shared" ref="AL3:AL34" si="14">C3*AK3</f>
        <v>2106.0864000000001</v>
      </c>
      <c r="AM3" s="25">
        <f t="shared" ref="AM3:AM34" si="15">(V3+9)*22</f>
        <v>685.52</v>
      </c>
      <c r="AN3" s="25">
        <f t="shared" ref="AN3:AN66" si="16">AM3*1.08</f>
        <v>740.36160000000007</v>
      </c>
      <c r="AO3" s="25">
        <f t="shared" ref="AO3:AO34" si="17">C3*AN3</f>
        <v>2961.4464000000003</v>
      </c>
      <c r="AP3" s="22">
        <f>Table13[[#This Row],[Total Selling Price / Unit (MVR)]]/Table13[[#This Row],[CNF / Unit
(MVR)]]</f>
        <v>2.5753283543651815</v>
      </c>
      <c r="AQ3" s="34">
        <f>Table13[[#This Row],[Total Selling Price / Unit (MVR)]]-(Table13[[#This Row],[GST 8%
(MVR)]]+Table13[[#This Row],[Weighted max
expense (MVR)]])</f>
        <v>140.65438295932682</v>
      </c>
      <c r="AR3" s="35">
        <f>Table13[[#This Row],[Profit / Unit (MVR)]]*Table13[[#This Row],[Qty 
(NOS)]]</f>
        <v>562.6175318373073</v>
      </c>
    </row>
    <row r="4" spans="1:47" ht="16.5" thickBot="1" x14ac:dyDescent="0.3">
      <c r="A4" t="s">
        <v>54</v>
      </c>
      <c r="B4" s="12" t="s">
        <v>116</v>
      </c>
      <c r="C4" s="4">
        <v>4</v>
      </c>
      <c r="D4" s="7">
        <v>3.9</v>
      </c>
      <c r="E4" s="28">
        <v>15.6</v>
      </c>
      <c r="F4" s="28">
        <f t="shared" si="0"/>
        <v>85.8</v>
      </c>
      <c r="G4" s="4">
        <f t="shared" si="1"/>
        <v>343.2</v>
      </c>
      <c r="H4" s="28">
        <v>119.02000000000001</v>
      </c>
      <c r="I4" s="28">
        <v>176.22</v>
      </c>
      <c r="J4" s="40">
        <f t="shared" si="2"/>
        <v>39.769733110991041</v>
      </c>
      <c r="K4" s="31">
        <f>(F4/$G$92)*Costs!$B$23</f>
        <v>126.89693355567562</v>
      </c>
      <c r="L4" s="31">
        <f t="shared" si="3"/>
        <v>166.66666666666666</v>
      </c>
      <c r="M4" s="31">
        <f t="shared" si="4"/>
        <v>13.333333333333332</v>
      </c>
      <c r="N4" s="40">
        <v>180</v>
      </c>
      <c r="O4" s="25">
        <f>Table13[[#This Row],[Total Selling Price / Unit (MVR)]]*Table13[[#This Row],[Qty 
(NOS)]]</f>
        <v>720</v>
      </c>
      <c r="P4" s="64">
        <f t="shared" ref="P4:P67" si="18">Q4*C4</f>
        <v>720</v>
      </c>
      <c r="Q4" s="64">
        <v>180</v>
      </c>
      <c r="R4" s="64">
        <f t="shared" ref="R4:R67" si="19">Q4*0.8</f>
        <v>144</v>
      </c>
      <c r="S4" s="7">
        <v>5.21</v>
      </c>
      <c r="T4" s="28">
        <f t="shared" ref="T4:T66" si="20">S4*22</f>
        <v>114.62</v>
      </c>
      <c r="U4" s="28">
        <v>119.02000000000001</v>
      </c>
      <c r="V4" s="7">
        <v>5.41</v>
      </c>
      <c r="W4" s="7">
        <v>3.9</v>
      </c>
      <c r="X4" s="28">
        <f t="shared" si="5"/>
        <v>686.4</v>
      </c>
      <c r="Y4" s="28">
        <v>175</v>
      </c>
      <c r="Z4" s="60">
        <f t="shared" ref="Z4:Z67" si="21">AA4*2</f>
        <v>171.6</v>
      </c>
      <c r="AA4" s="70">
        <v>85.8</v>
      </c>
      <c r="AB4" s="28">
        <v>176.22</v>
      </c>
      <c r="AC4" s="28">
        <v>180</v>
      </c>
      <c r="AD4" s="25">
        <f t="shared" si="6"/>
        <v>83.422200000000004</v>
      </c>
      <c r="AE4" s="25">
        <f t="shared" si="7"/>
        <v>90.095976000000007</v>
      </c>
      <c r="AF4" s="25">
        <f t="shared" si="8"/>
        <v>360.38390400000003</v>
      </c>
      <c r="AG4" s="25">
        <f t="shared" si="9"/>
        <v>222.2022</v>
      </c>
      <c r="AH4" s="25">
        <f t="shared" si="10"/>
        <v>239.97837600000003</v>
      </c>
      <c r="AI4" s="25">
        <f t="shared" si="11"/>
        <v>959.9135040000001</v>
      </c>
      <c r="AJ4" s="25">
        <f t="shared" si="12"/>
        <v>119.02000000000001</v>
      </c>
      <c r="AK4" s="25">
        <f t="shared" si="13"/>
        <v>128.54160000000002</v>
      </c>
      <c r="AL4" s="25">
        <f t="shared" si="14"/>
        <v>514.16640000000007</v>
      </c>
      <c r="AM4" s="25">
        <f t="shared" si="15"/>
        <v>317.02</v>
      </c>
      <c r="AN4" s="25">
        <f t="shared" si="16"/>
        <v>342.38159999999999</v>
      </c>
      <c r="AO4" s="25">
        <f t="shared" si="17"/>
        <v>1369.5264</v>
      </c>
      <c r="AP4" s="22">
        <f>Table13[[#This Row],[Total Selling Price / Unit (MVR)]]/Table13[[#This Row],[CNF / Unit
(MVR)]]</f>
        <v>2.0979020979020979</v>
      </c>
      <c r="AQ4" s="36">
        <f>Table13[[#This Row],[Total Selling Price / Unit (MVR)]]-(Table13[[#This Row],[GST 8%
(MVR)]]+Table13[[#This Row],[Weighted max
expense (MVR)]])</f>
        <v>39.769733110991041</v>
      </c>
      <c r="AR4" s="37">
        <f>Table13[[#This Row],[Profit / Unit (MVR)]]*Table13[[#This Row],[Qty 
(NOS)]]</f>
        <v>159.07893244396416</v>
      </c>
      <c r="AT4" s="51" t="s">
        <v>126</v>
      </c>
      <c r="AU4" s="91">
        <f>O92</f>
        <v>136161</v>
      </c>
    </row>
    <row r="5" spans="1:47" ht="16.5" thickBot="1" x14ac:dyDescent="0.3">
      <c r="A5" t="s">
        <v>25</v>
      </c>
      <c r="B5" s="12" t="s">
        <v>116</v>
      </c>
      <c r="C5" s="4">
        <v>7</v>
      </c>
      <c r="D5" s="7">
        <v>7.06</v>
      </c>
      <c r="E5" s="28">
        <v>49.419999999999995</v>
      </c>
      <c r="F5" s="28">
        <f t="shared" si="0"/>
        <v>155.32</v>
      </c>
      <c r="G5" s="4">
        <f t="shared" si="1"/>
        <v>1087.24</v>
      </c>
      <c r="H5" s="28">
        <v>487.52</v>
      </c>
      <c r="I5" s="28">
        <v>322.74</v>
      </c>
      <c r="J5" s="39">
        <f t="shared" si="2"/>
        <v>140.6543829593268</v>
      </c>
      <c r="K5" s="30">
        <f>(F5/$G$92)*Costs!$B$23</f>
        <v>229.71598741104353</v>
      </c>
      <c r="L5" s="30">
        <f t="shared" si="3"/>
        <v>370.37037037037032</v>
      </c>
      <c r="M5" s="30">
        <f t="shared" si="4"/>
        <v>29.629629629629626</v>
      </c>
      <c r="N5" s="39">
        <v>400</v>
      </c>
      <c r="O5" s="25">
        <f>Table13[[#This Row],[Total Selling Price / Unit (MVR)]]*Table13[[#This Row],[Qty 
(NOS)]]</f>
        <v>2800</v>
      </c>
      <c r="P5" s="64">
        <f t="shared" si="18"/>
        <v>2800</v>
      </c>
      <c r="Q5" s="64">
        <v>400</v>
      </c>
      <c r="R5" s="64">
        <f t="shared" si="19"/>
        <v>320</v>
      </c>
      <c r="S5" s="7">
        <v>21.36</v>
      </c>
      <c r="T5" s="28">
        <f t="shared" si="20"/>
        <v>469.91999999999996</v>
      </c>
      <c r="U5" s="28">
        <v>487.52</v>
      </c>
      <c r="V5" s="7">
        <v>22.16</v>
      </c>
      <c r="W5" s="7">
        <v>7.06</v>
      </c>
      <c r="X5" s="28">
        <f t="shared" si="5"/>
        <v>2174.48</v>
      </c>
      <c r="Y5" s="28">
        <v>315</v>
      </c>
      <c r="Z5" s="60">
        <f t="shared" si="21"/>
        <v>310.64</v>
      </c>
      <c r="AA5" s="69">
        <v>155.32</v>
      </c>
      <c r="AB5" s="28">
        <v>322.74</v>
      </c>
      <c r="AC5" s="28">
        <v>400</v>
      </c>
      <c r="AD5" s="25">
        <f t="shared" si="6"/>
        <v>341.7072</v>
      </c>
      <c r="AE5" s="25">
        <f t="shared" si="7"/>
        <v>369.04377600000004</v>
      </c>
      <c r="AF5" s="25">
        <f t="shared" si="8"/>
        <v>2583.3064320000003</v>
      </c>
      <c r="AG5" s="25">
        <f t="shared" si="9"/>
        <v>480.48719999999997</v>
      </c>
      <c r="AH5" s="25">
        <f t="shared" si="10"/>
        <v>518.92617600000005</v>
      </c>
      <c r="AI5" s="25">
        <f t="shared" si="11"/>
        <v>3632.4832320000005</v>
      </c>
      <c r="AJ5" s="25">
        <f t="shared" si="12"/>
        <v>487.52</v>
      </c>
      <c r="AK5" s="25">
        <f t="shared" si="13"/>
        <v>526.52160000000003</v>
      </c>
      <c r="AL5" s="25">
        <f t="shared" si="14"/>
        <v>3685.6512000000002</v>
      </c>
      <c r="AM5" s="25">
        <f t="shared" si="15"/>
        <v>685.52</v>
      </c>
      <c r="AN5" s="25">
        <f t="shared" si="16"/>
        <v>740.36160000000007</v>
      </c>
      <c r="AO5" s="25">
        <f t="shared" si="17"/>
        <v>5182.5312000000004</v>
      </c>
      <c r="AP5" s="24">
        <f>Table13[[#This Row],[Total Selling Price / Unit (MVR)]]/Table13[[#This Row],[CNF / Unit
(MVR)]]</f>
        <v>2.5753283543651815</v>
      </c>
      <c r="AQ5" s="34">
        <f>Table13[[#This Row],[Total Selling Price / Unit (MVR)]]-(Table13[[#This Row],[GST 8%
(MVR)]]+Table13[[#This Row],[Weighted max
expense (MVR)]])</f>
        <v>140.65438295932682</v>
      </c>
      <c r="AR5" s="35">
        <f>Table13[[#This Row],[Profit / Unit (MVR)]]*Table13[[#This Row],[Qty 
(NOS)]]</f>
        <v>984.58068071528783</v>
      </c>
      <c r="AT5" s="52" t="s">
        <v>127</v>
      </c>
      <c r="AU5" s="92">
        <f>Costs!B23</f>
        <v>69267.83</v>
      </c>
    </row>
    <row r="6" spans="1:47" ht="16.5" thickBot="1" x14ac:dyDescent="0.3">
      <c r="A6" t="s">
        <v>26</v>
      </c>
      <c r="B6" s="12" t="s">
        <v>116</v>
      </c>
      <c r="C6" s="4">
        <v>7</v>
      </c>
      <c r="D6" s="7">
        <v>4.24</v>
      </c>
      <c r="E6" s="28">
        <v>29.68</v>
      </c>
      <c r="F6" s="28">
        <f t="shared" si="0"/>
        <v>93.28</v>
      </c>
      <c r="G6" s="4">
        <f t="shared" si="1"/>
        <v>652.96</v>
      </c>
      <c r="H6" s="28">
        <v>407.66</v>
      </c>
      <c r="I6" s="28">
        <v>162.35999999999999</v>
      </c>
      <c r="J6" s="40">
        <f t="shared" si="2"/>
        <v>186.11433092636523</v>
      </c>
      <c r="K6" s="31">
        <f>(F6/$G$92)*Costs!$B$23</f>
        <v>137.95974314770885</v>
      </c>
      <c r="L6" s="31">
        <f t="shared" si="3"/>
        <v>324.07407407407408</v>
      </c>
      <c r="M6" s="31">
        <f t="shared" si="4"/>
        <v>25.925925925925927</v>
      </c>
      <c r="N6" s="40">
        <v>350</v>
      </c>
      <c r="O6" s="25">
        <f>Table13[[#This Row],[Total Selling Price / Unit (MVR)]]*Table13[[#This Row],[Qty 
(NOS)]]</f>
        <v>2450</v>
      </c>
      <c r="P6" s="64">
        <f t="shared" si="18"/>
        <v>2240</v>
      </c>
      <c r="Q6" s="64">
        <v>320</v>
      </c>
      <c r="R6" s="64">
        <f t="shared" si="19"/>
        <v>256</v>
      </c>
      <c r="S6" s="61">
        <v>17.86</v>
      </c>
      <c r="T6" s="72">
        <f t="shared" si="20"/>
        <v>392.91999999999996</v>
      </c>
      <c r="U6" s="28">
        <v>407.66</v>
      </c>
      <c r="V6" s="7">
        <v>18.53</v>
      </c>
      <c r="W6" s="7">
        <v>4.24</v>
      </c>
      <c r="X6" s="28">
        <f t="shared" si="5"/>
        <v>1305.92</v>
      </c>
      <c r="Y6" s="28">
        <v>190</v>
      </c>
      <c r="Z6" s="60">
        <f t="shared" si="21"/>
        <v>186.56</v>
      </c>
      <c r="AA6" s="70">
        <v>93.28</v>
      </c>
      <c r="AB6" s="28">
        <v>162.35999999999999</v>
      </c>
      <c r="AC6" s="28">
        <v>350</v>
      </c>
      <c r="AD6" s="25">
        <f t="shared" si="6"/>
        <v>285.73259999999999</v>
      </c>
      <c r="AE6" s="25">
        <f t="shared" si="7"/>
        <v>308.59120799999999</v>
      </c>
      <c r="AF6" s="25">
        <f t="shared" si="8"/>
        <v>2160.1384560000001</v>
      </c>
      <c r="AG6" s="25">
        <f t="shared" si="9"/>
        <v>424.51260000000002</v>
      </c>
      <c r="AH6" s="25">
        <f t="shared" si="10"/>
        <v>458.47360800000007</v>
      </c>
      <c r="AI6" s="25">
        <f t="shared" si="11"/>
        <v>3209.3152560000003</v>
      </c>
      <c r="AJ6" s="25">
        <f t="shared" si="12"/>
        <v>407.66</v>
      </c>
      <c r="AK6" s="25">
        <f t="shared" si="13"/>
        <v>440.27280000000007</v>
      </c>
      <c r="AL6" s="25">
        <f t="shared" si="14"/>
        <v>3081.9096000000004</v>
      </c>
      <c r="AM6" s="25">
        <f t="shared" si="15"/>
        <v>605.66000000000008</v>
      </c>
      <c r="AN6" s="25">
        <f t="shared" si="16"/>
        <v>654.11280000000011</v>
      </c>
      <c r="AO6" s="25">
        <f t="shared" si="17"/>
        <v>4578.789600000001</v>
      </c>
      <c r="AP6" s="22">
        <f>Table13[[#This Row],[Total Selling Price / Unit (MVR)]]/Table13[[#This Row],[CNF / Unit
(MVR)]]</f>
        <v>3.7521440823327614</v>
      </c>
      <c r="AQ6" s="36">
        <f>Table13[[#This Row],[Total Selling Price / Unit (MVR)]]-(Table13[[#This Row],[GST 8%
(MVR)]]+Table13[[#This Row],[Weighted max
expense (MVR)]])</f>
        <v>186.11433092636523</v>
      </c>
      <c r="AR6" s="37">
        <f>Table13[[#This Row],[Profit / Unit (MVR)]]*Table13[[#This Row],[Qty 
(NOS)]]</f>
        <v>1302.8003164845566</v>
      </c>
      <c r="AT6" s="53" t="s">
        <v>128</v>
      </c>
      <c r="AU6" s="93">
        <f>AU4-AU5</f>
        <v>66893.17</v>
      </c>
    </row>
    <row r="7" spans="1:47" ht="16.5" thickBot="1" x14ac:dyDescent="0.3">
      <c r="A7" t="s">
        <v>29</v>
      </c>
      <c r="B7" s="12" t="s">
        <v>116</v>
      </c>
      <c r="C7" s="4">
        <v>7</v>
      </c>
      <c r="D7" s="7">
        <v>3.9</v>
      </c>
      <c r="E7" s="28">
        <v>27.3</v>
      </c>
      <c r="F7" s="28">
        <f t="shared" si="0"/>
        <v>85.8</v>
      </c>
      <c r="G7" s="4">
        <f t="shared" si="1"/>
        <v>600.6</v>
      </c>
      <c r="H7" s="28">
        <v>119.02000000000001</v>
      </c>
      <c r="I7" s="28">
        <v>176.22</v>
      </c>
      <c r="J7" s="39">
        <f t="shared" si="2"/>
        <v>39.769733110991041</v>
      </c>
      <c r="K7" s="30">
        <f>(F7/$G$92)*Costs!$B$23</f>
        <v>126.89693355567562</v>
      </c>
      <c r="L7" s="30">
        <f t="shared" si="3"/>
        <v>166.66666666666666</v>
      </c>
      <c r="M7" s="30">
        <f t="shared" si="4"/>
        <v>13.333333333333332</v>
      </c>
      <c r="N7" s="39">
        <v>180</v>
      </c>
      <c r="O7" s="25">
        <f>Table13[[#This Row],[Total Selling Price / Unit (MVR)]]*Table13[[#This Row],[Qty 
(NOS)]]</f>
        <v>1260</v>
      </c>
      <c r="P7" s="64">
        <f t="shared" si="18"/>
        <v>1260</v>
      </c>
      <c r="Q7" s="64">
        <v>180</v>
      </c>
      <c r="R7" s="64">
        <f t="shared" si="19"/>
        <v>144</v>
      </c>
      <c r="S7" s="7">
        <v>5.21</v>
      </c>
      <c r="T7" s="28">
        <f t="shared" si="20"/>
        <v>114.62</v>
      </c>
      <c r="U7" s="28">
        <v>119.02000000000001</v>
      </c>
      <c r="V7" s="7">
        <v>5.41</v>
      </c>
      <c r="W7" s="7">
        <v>3.9</v>
      </c>
      <c r="X7" s="28">
        <f t="shared" si="5"/>
        <v>1201.2</v>
      </c>
      <c r="Y7" s="28">
        <v>175</v>
      </c>
      <c r="Z7" s="60">
        <f t="shared" si="21"/>
        <v>171.6</v>
      </c>
      <c r="AA7" s="69">
        <v>85.8</v>
      </c>
      <c r="AB7" s="28">
        <v>176.22</v>
      </c>
      <c r="AC7" s="28">
        <v>180</v>
      </c>
      <c r="AD7" s="25">
        <f t="shared" si="6"/>
        <v>83.422200000000004</v>
      </c>
      <c r="AE7" s="25">
        <f t="shared" si="7"/>
        <v>90.095976000000007</v>
      </c>
      <c r="AF7" s="25">
        <f t="shared" si="8"/>
        <v>630.67183199999999</v>
      </c>
      <c r="AG7" s="25">
        <f t="shared" si="9"/>
        <v>222.2022</v>
      </c>
      <c r="AH7" s="25">
        <f t="shared" si="10"/>
        <v>239.97837600000003</v>
      </c>
      <c r="AI7" s="25">
        <f t="shared" si="11"/>
        <v>1679.8486320000002</v>
      </c>
      <c r="AJ7" s="25">
        <f t="shared" si="12"/>
        <v>119.02000000000001</v>
      </c>
      <c r="AK7" s="25">
        <f t="shared" si="13"/>
        <v>128.54160000000002</v>
      </c>
      <c r="AL7" s="25">
        <f t="shared" si="14"/>
        <v>899.79120000000012</v>
      </c>
      <c r="AM7" s="25">
        <f t="shared" si="15"/>
        <v>317.02</v>
      </c>
      <c r="AN7" s="25">
        <f t="shared" si="16"/>
        <v>342.38159999999999</v>
      </c>
      <c r="AO7" s="25">
        <f t="shared" si="17"/>
        <v>2396.6711999999998</v>
      </c>
      <c r="AP7" s="22">
        <f>Table13[[#This Row],[Total Selling Price / Unit (MVR)]]/Table13[[#This Row],[CNF / Unit
(MVR)]]</f>
        <v>2.0979020979020979</v>
      </c>
      <c r="AQ7" s="34">
        <f>Table13[[#This Row],[Total Selling Price / Unit (MVR)]]-(Table13[[#This Row],[GST 8%
(MVR)]]+Table13[[#This Row],[Weighted max
expense (MVR)]])</f>
        <v>39.769733110991041</v>
      </c>
      <c r="AR7" s="35">
        <f>Table13[[#This Row],[Profit / Unit (MVR)]]*Table13[[#This Row],[Qty 
(NOS)]]</f>
        <v>278.38813177693726</v>
      </c>
      <c r="AS7"/>
      <c r="AT7" s="54" t="s">
        <v>129</v>
      </c>
      <c r="AU7" s="94">
        <f>AU4*60%</f>
        <v>81696.599999999991</v>
      </c>
    </row>
    <row r="8" spans="1:47" x14ac:dyDescent="0.25">
      <c r="A8" t="s">
        <v>52</v>
      </c>
      <c r="B8" s="12" t="s">
        <v>116</v>
      </c>
      <c r="C8" s="4">
        <v>8</v>
      </c>
      <c r="D8" s="7">
        <v>2.02</v>
      </c>
      <c r="E8" s="28">
        <v>16.16</v>
      </c>
      <c r="F8" s="28">
        <f t="shared" si="0"/>
        <v>44.44</v>
      </c>
      <c r="G8" s="4">
        <f t="shared" si="1"/>
        <v>355.52</v>
      </c>
      <c r="H8" s="28">
        <v>63.580000000000005</v>
      </c>
      <c r="I8" s="28">
        <v>161.69999999999999</v>
      </c>
      <c r="J8" s="40">
        <f t="shared" si="2"/>
        <v>54.644266323584546</v>
      </c>
      <c r="K8" s="31">
        <f>(F8/$G$92)*Costs!$B$23</f>
        <v>65.726104046785821</v>
      </c>
      <c r="L8" s="31">
        <f t="shared" si="3"/>
        <v>120.37037037037037</v>
      </c>
      <c r="M8" s="31">
        <f t="shared" si="4"/>
        <v>9.6296296296296298</v>
      </c>
      <c r="N8" s="40">
        <v>130</v>
      </c>
      <c r="O8" s="25">
        <f>Table13[[#This Row],[Total Selling Price / Unit (MVR)]]*Table13[[#This Row],[Qty 
(NOS)]]</f>
        <v>1040</v>
      </c>
      <c r="P8" s="64">
        <f t="shared" si="18"/>
        <v>1280</v>
      </c>
      <c r="Q8" s="64">
        <v>160</v>
      </c>
      <c r="R8" s="64">
        <f t="shared" si="19"/>
        <v>128</v>
      </c>
      <c r="S8" s="7">
        <v>2.79</v>
      </c>
      <c r="T8" s="28">
        <f t="shared" si="20"/>
        <v>61.38</v>
      </c>
      <c r="U8" s="28">
        <v>63.580000000000005</v>
      </c>
      <c r="V8" s="7">
        <v>2.89</v>
      </c>
      <c r="W8" s="7">
        <v>2.02</v>
      </c>
      <c r="X8" s="28">
        <f t="shared" si="5"/>
        <v>711.04</v>
      </c>
      <c r="Y8" s="28">
        <v>90</v>
      </c>
      <c r="Z8" s="60">
        <f t="shared" si="21"/>
        <v>88.88</v>
      </c>
      <c r="AA8" s="70">
        <v>44.44</v>
      </c>
      <c r="AB8" s="28">
        <v>161.69999999999999</v>
      </c>
      <c r="AC8" s="28">
        <v>130</v>
      </c>
      <c r="AD8" s="25">
        <f t="shared" si="6"/>
        <v>44.563800000000001</v>
      </c>
      <c r="AE8" s="25">
        <f t="shared" si="7"/>
        <v>48.128904000000006</v>
      </c>
      <c r="AF8" s="25">
        <f t="shared" si="8"/>
        <v>385.03123200000005</v>
      </c>
      <c r="AG8" s="25">
        <f t="shared" si="9"/>
        <v>183.34380000000002</v>
      </c>
      <c r="AH8" s="25">
        <f t="shared" si="10"/>
        <v>198.01130400000002</v>
      </c>
      <c r="AI8" s="25">
        <f t="shared" si="11"/>
        <v>1584.0904320000002</v>
      </c>
      <c r="AJ8" s="25">
        <f t="shared" si="12"/>
        <v>63.580000000000005</v>
      </c>
      <c r="AK8" s="25">
        <f t="shared" si="13"/>
        <v>68.66640000000001</v>
      </c>
      <c r="AL8" s="25">
        <f t="shared" si="14"/>
        <v>549.33120000000008</v>
      </c>
      <c r="AM8" s="25">
        <f t="shared" si="15"/>
        <v>261.58000000000004</v>
      </c>
      <c r="AN8" s="25">
        <f t="shared" si="16"/>
        <v>282.50640000000004</v>
      </c>
      <c r="AO8" s="25">
        <f t="shared" si="17"/>
        <v>2260.0512000000003</v>
      </c>
      <c r="AP8" s="22">
        <f>Table13[[#This Row],[Total Selling Price / Unit (MVR)]]/Table13[[#This Row],[CNF / Unit
(MVR)]]</f>
        <v>2.9252925292529253</v>
      </c>
      <c r="AQ8" s="36">
        <f>Table13[[#This Row],[Total Selling Price / Unit (MVR)]]-(Table13[[#This Row],[GST 8%
(MVR)]]+Table13[[#This Row],[Weighted max
expense (MVR)]])</f>
        <v>54.644266323584546</v>
      </c>
      <c r="AR8" s="37">
        <f>Table13[[#This Row],[Profit / Unit (MVR)]]*Table13[[#This Row],[Qty 
(NOS)]]</f>
        <v>437.15413058867637</v>
      </c>
      <c r="AS8"/>
      <c r="AT8"/>
    </row>
    <row r="9" spans="1:47" x14ac:dyDescent="0.25">
      <c r="A9" t="s">
        <v>49</v>
      </c>
      <c r="B9" s="12" t="s">
        <v>116</v>
      </c>
      <c r="C9" s="4">
        <v>4</v>
      </c>
      <c r="D9" s="7">
        <v>7.06</v>
      </c>
      <c r="E9" s="28">
        <v>28.24</v>
      </c>
      <c r="F9" s="28">
        <f t="shared" si="0"/>
        <v>155.32</v>
      </c>
      <c r="G9" s="4">
        <f t="shared" si="1"/>
        <v>621.28</v>
      </c>
      <c r="H9" s="28">
        <v>487.52</v>
      </c>
      <c r="I9" s="28">
        <v>322.74</v>
      </c>
      <c r="J9" s="39">
        <f t="shared" si="2"/>
        <v>140.6543829593268</v>
      </c>
      <c r="K9" s="30">
        <f>(F9/$G$92)*Costs!$B$23</f>
        <v>229.71598741104353</v>
      </c>
      <c r="L9" s="30">
        <f t="shared" si="3"/>
        <v>370.37037037037032</v>
      </c>
      <c r="M9" s="30">
        <f t="shared" si="4"/>
        <v>29.629629629629626</v>
      </c>
      <c r="N9" s="39">
        <v>400</v>
      </c>
      <c r="O9" s="25">
        <f>Table13[[#This Row],[Total Selling Price / Unit (MVR)]]*Table13[[#This Row],[Qty 
(NOS)]]</f>
        <v>1600</v>
      </c>
      <c r="P9" s="64">
        <f t="shared" si="18"/>
        <v>1600</v>
      </c>
      <c r="Q9" s="64">
        <v>400</v>
      </c>
      <c r="R9" s="64">
        <f t="shared" si="19"/>
        <v>320</v>
      </c>
      <c r="S9" s="7">
        <v>21.36</v>
      </c>
      <c r="T9" s="28">
        <f t="shared" si="20"/>
        <v>469.91999999999996</v>
      </c>
      <c r="U9" s="28">
        <v>487.52</v>
      </c>
      <c r="V9" s="7">
        <v>22.16</v>
      </c>
      <c r="W9" s="7">
        <v>7.06</v>
      </c>
      <c r="X9" s="28">
        <f t="shared" si="5"/>
        <v>1242.56</v>
      </c>
      <c r="Y9" s="28">
        <v>315</v>
      </c>
      <c r="Z9" s="60">
        <f t="shared" si="21"/>
        <v>310.64</v>
      </c>
      <c r="AA9" s="69">
        <v>155.32</v>
      </c>
      <c r="AB9" s="28">
        <v>322.74</v>
      </c>
      <c r="AC9" s="28">
        <v>400</v>
      </c>
      <c r="AD9" s="25">
        <f t="shared" si="6"/>
        <v>341.7072</v>
      </c>
      <c r="AE9" s="25">
        <f t="shared" si="7"/>
        <v>369.04377600000004</v>
      </c>
      <c r="AF9" s="25">
        <f t="shared" si="8"/>
        <v>1476.1751040000001</v>
      </c>
      <c r="AG9" s="25">
        <f t="shared" si="9"/>
        <v>480.48719999999997</v>
      </c>
      <c r="AH9" s="25">
        <f t="shared" si="10"/>
        <v>518.92617600000005</v>
      </c>
      <c r="AI9" s="25">
        <f t="shared" si="11"/>
        <v>2075.7047040000002</v>
      </c>
      <c r="AJ9" s="25">
        <f t="shared" si="12"/>
        <v>487.52</v>
      </c>
      <c r="AK9" s="25">
        <f t="shared" si="13"/>
        <v>526.52160000000003</v>
      </c>
      <c r="AL9" s="25">
        <f t="shared" si="14"/>
        <v>2106.0864000000001</v>
      </c>
      <c r="AM9" s="25">
        <f t="shared" si="15"/>
        <v>685.52</v>
      </c>
      <c r="AN9" s="25">
        <f t="shared" si="16"/>
        <v>740.36160000000007</v>
      </c>
      <c r="AO9" s="25">
        <f t="shared" si="17"/>
        <v>2961.4464000000003</v>
      </c>
      <c r="AP9" s="22">
        <f>Table13[[#This Row],[Total Selling Price / Unit (MVR)]]/Table13[[#This Row],[CNF / Unit
(MVR)]]</f>
        <v>2.5753283543651815</v>
      </c>
      <c r="AQ9" s="34">
        <f>Table13[[#This Row],[Total Selling Price / Unit (MVR)]]-(Table13[[#This Row],[GST 8%
(MVR)]]+Table13[[#This Row],[Weighted max
expense (MVR)]])</f>
        <v>140.65438295932682</v>
      </c>
      <c r="AR9" s="35">
        <f>Table13[[#This Row],[Profit / Unit (MVR)]]*Table13[[#This Row],[Qty 
(NOS)]]</f>
        <v>562.6175318373073</v>
      </c>
      <c r="AS9"/>
      <c r="AT9"/>
    </row>
    <row r="10" spans="1:47" x14ac:dyDescent="0.25">
      <c r="A10" t="s">
        <v>51</v>
      </c>
      <c r="B10" s="12" t="s">
        <v>116</v>
      </c>
      <c r="C10" s="4">
        <v>4</v>
      </c>
      <c r="D10" s="7">
        <v>4.24</v>
      </c>
      <c r="E10" s="28">
        <v>16.96</v>
      </c>
      <c r="F10" s="28">
        <f t="shared" si="0"/>
        <v>93.28</v>
      </c>
      <c r="G10" s="4">
        <f t="shared" si="1"/>
        <v>373.12</v>
      </c>
      <c r="H10" s="28">
        <v>407.66</v>
      </c>
      <c r="I10" s="28">
        <v>162.35999999999999</v>
      </c>
      <c r="J10" s="40">
        <f t="shared" si="2"/>
        <v>186.11433092636523</v>
      </c>
      <c r="K10" s="31">
        <f>(F10/$G$92)*Costs!$B$23</f>
        <v>137.95974314770885</v>
      </c>
      <c r="L10" s="31">
        <f t="shared" si="3"/>
        <v>324.07407407407408</v>
      </c>
      <c r="M10" s="31">
        <f t="shared" si="4"/>
        <v>25.925925925925927</v>
      </c>
      <c r="N10" s="40">
        <v>350</v>
      </c>
      <c r="O10" s="25">
        <f>Table13[[#This Row],[Total Selling Price / Unit (MVR)]]*Table13[[#This Row],[Qty 
(NOS)]]</f>
        <v>1400</v>
      </c>
      <c r="P10" s="64">
        <f t="shared" si="18"/>
        <v>1280</v>
      </c>
      <c r="Q10" s="64">
        <v>320</v>
      </c>
      <c r="R10" s="64">
        <f t="shared" si="19"/>
        <v>256</v>
      </c>
      <c r="S10" s="7">
        <v>17.86</v>
      </c>
      <c r="T10" s="28">
        <f t="shared" si="20"/>
        <v>392.91999999999996</v>
      </c>
      <c r="U10" s="28">
        <v>407.66</v>
      </c>
      <c r="V10" s="7">
        <v>18.53</v>
      </c>
      <c r="W10" s="7">
        <v>4.24</v>
      </c>
      <c r="X10" s="28">
        <f t="shared" si="5"/>
        <v>746.24</v>
      </c>
      <c r="Y10" s="28">
        <v>190</v>
      </c>
      <c r="Z10" s="60">
        <f t="shared" si="21"/>
        <v>186.56</v>
      </c>
      <c r="AA10" s="70">
        <v>93.28</v>
      </c>
      <c r="AB10" s="28">
        <v>162.35999999999999</v>
      </c>
      <c r="AC10" s="28">
        <v>350</v>
      </c>
      <c r="AD10" s="25">
        <f t="shared" si="6"/>
        <v>285.73259999999999</v>
      </c>
      <c r="AE10" s="25">
        <f t="shared" si="7"/>
        <v>308.59120799999999</v>
      </c>
      <c r="AF10" s="25">
        <f t="shared" si="8"/>
        <v>1234.364832</v>
      </c>
      <c r="AG10" s="25">
        <f t="shared" si="9"/>
        <v>424.51260000000002</v>
      </c>
      <c r="AH10" s="25">
        <f t="shared" si="10"/>
        <v>458.47360800000007</v>
      </c>
      <c r="AI10" s="25">
        <f t="shared" si="11"/>
        <v>1833.8944320000003</v>
      </c>
      <c r="AJ10" s="25">
        <f t="shared" si="12"/>
        <v>407.66</v>
      </c>
      <c r="AK10" s="25">
        <f t="shared" si="13"/>
        <v>440.27280000000007</v>
      </c>
      <c r="AL10" s="25">
        <f t="shared" si="14"/>
        <v>1761.0912000000003</v>
      </c>
      <c r="AM10" s="25">
        <f t="shared" si="15"/>
        <v>605.66000000000008</v>
      </c>
      <c r="AN10" s="25">
        <f t="shared" si="16"/>
        <v>654.11280000000011</v>
      </c>
      <c r="AO10" s="25">
        <f t="shared" si="17"/>
        <v>2616.4512000000004</v>
      </c>
      <c r="AP10" s="22">
        <f>Table13[[#This Row],[Total Selling Price / Unit (MVR)]]/Table13[[#This Row],[CNF / Unit
(MVR)]]</f>
        <v>3.7521440823327614</v>
      </c>
      <c r="AQ10" s="36">
        <f>Table13[[#This Row],[Total Selling Price / Unit (MVR)]]-(Table13[[#This Row],[GST 8%
(MVR)]]+Table13[[#This Row],[Weighted max
expense (MVR)]])</f>
        <v>186.11433092636523</v>
      </c>
      <c r="AR10" s="37">
        <f>Table13[[#This Row],[Profit / Unit (MVR)]]*Table13[[#This Row],[Qty 
(NOS)]]</f>
        <v>744.45732370546091</v>
      </c>
      <c r="AS10"/>
      <c r="AT10"/>
    </row>
    <row r="11" spans="1:47" x14ac:dyDescent="0.25">
      <c r="A11" t="s">
        <v>53</v>
      </c>
      <c r="B11" s="12" t="s">
        <v>116</v>
      </c>
      <c r="C11" s="4">
        <v>4</v>
      </c>
      <c r="D11" s="7">
        <v>3.9</v>
      </c>
      <c r="E11" s="28">
        <v>15.6</v>
      </c>
      <c r="F11" s="28">
        <f t="shared" si="0"/>
        <v>85.8</v>
      </c>
      <c r="G11" s="4">
        <f t="shared" si="1"/>
        <v>343.2</v>
      </c>
      <c r="H11" s="28">
        <v>119.02000000000001</v>
      </c>
      <c r="I11" s="28">
        <v>176.22</v>
      </c>
      <c r="J11" s="39">
        <f t="shared" si="2"/>
        <v>39.769733110991041</v>
      </c>
      <c r="K11" s="30">
        <f>(F11/$G$92)*Costs!$B$23</f>
        <v>126.89693355567562</v>
      </c>
      <c r="L11" s="30">
        <f t="shared" si="3"/>
        <v>166.66666666666666</v>
      </c>
      <c r="M11" s="30">
        <f t="shared" si="4"/>
        <v>13.333333333333332</v>
      </c>
      <c r="N11" s="39">
        <v>180</v>
      </c>
      <c r="O11" s="25">
        <f>Table13[[#This Row],[Total Selling Price / Unit (MVR)]]*Table13[[#This Row],[Qty 
(NOS)]]</f>
        <v>720</v>
      </c>
      <c r="P11" s="64">
        <f t="shared" si="18"/>
        <v>720</v>
      </c>
      <c r="Q11" s="64">
        <v>180</v>
      </c>
      <c r="R11" s="64">
        <f t="shared" si="19"/>
        <v>144</v>
      </c>
      <c r="S11" s="7">
        <v>5.21</v>
      </c>
      <c r="T11" s="28">
        <f t="shared" si="20"/>
        <v>114.62</v>
      </c>
      <c r="U11" s="28">
        <v>119.02000000000001</v>
      </c>
      <c r="V11" s="7">
        <v>5.41</v>
      </c>
      <c r="W11" s="7">
        <v>3.9</v>
      </c>
      <c r="X11" s="28">
        <f t="shared" si="5"/>
        <v>686.4</v>
      </c>
      <c r="Y11" s="28">
        <v>175</v>
      </c>
      <c r="Z11" s="60">
        <f t="shared" si="21"/>
        <v>171.6</v>
      </c>
      <c r="AA11" s="69">
        <v>85.8</v>
      </c>
      <c r="AB11" s="28">
        <v>176.22</v>
      </c>
      <c r="AC11" s="28">
        <v>180</v>
      </c>
      <c r="AD11" s="25">
        <f t="shared" si="6"/>
        <v>83.422200000000004</v>
      </c>
      <c r="AE11" s="25">
        <f t="shared" si="7"/>
        <v>90.095976000000007</v>
      </c>
      <c r="AF11" s="25">
        <f t="shared" si="8"/>
        <v>360.38390400000003</v>
      </c>
      <c r="AG11" s="25">
        <f t="shared" si="9"/>
        <v>222.2022</v>
      </c>
      <c r="AH11" s="25">
        <f t="shared" si="10"/>
        <v>239.97837600000003</v>
      </c>
      <c r="AI11" s="25">
        <f t="shared" si="11"/>
        <v>959.9135040000001</v>
      </c>
      <c r="AJ11" s="25">
        <f t="shared" si="12"/>
        <v>119.02000000000001</v>
      </c>
      <c r="AK11" s="25">
        <f t="shared" si="13"/>
        <v>128.54160000000002</v>
      </c>
      <c r="AL11" s="25">
        <f t="shared" si="14"/>
        <v>514.16640000000007</v>
      </c>
      <c r="AM11" s="25">
        <f t="shared" si="15"/>
        <v>317.02</v>
      </c>
      <c r="AN11" s="25">
        <f t="shared" si="16"/>
        <v>342.38159999999999</v>
      </c>
      <c r="AO11" s="25">
        <f t="shared" si="17"/>
        <v>1369.5264</v>
      </c>
      <c r="AP11" s="22">
        <f>Table13[[#This Row],[Total Selling Price / Unit (MVR)]]/Table13[[#This Row],[CNF / Unit
(MVR)]]</f>
        <v>2.0979020979020979</v>
      </c>
      <c r="AQ11" s="34">
        <f>Table13[[#This Row],[Total Selling Price / Unit (MVR)]]-(Table13[[#This Row],[GST 8%
(MVR)]]+Table13[[#This Row],[Weighted max
expense (MVR)]])</f>
        <v>39.769733110991041</v>
      </c>
      <c r="AR11" s="35">
        <f>Table13[[#This Row],[Profit / Unit (MVR)]]*Table13[[#This Row],[Qty 
(NOS)]]</f>
        <v>159.07893244396416</v>
      </c>
      <c r="AS11"/>
      <c r="AT11"/>
    </row>
    <row r="12" spans="1:47" x14ac:dyDescent="0.25">
      <c r="A12" t="s">
        <v>50</v>
      </c>
      <c r="B12" s="12" t="s">
        <v>116</v>
      </c>
      <c r="C12" s="4">
        <v>4</v>
      </c>
      <c r="D12" s="7">
        <v>7.06</v>
      </c>
      <c r="E12" s="28">
        <v>28.24</v>
      </c>
      <c r="F12" s="28">
        <f t="shared" si="0"/>
        <v>155.32</v>
      </c>
      <c r="G12" s="4">
        <f t="shared" si="1"/>
        <v>621.28</v>
      </c>
      <c r="H12" s="28">
        <v>487.52</v>
      </c>
      <c r="I12" s="28">
        <v>322.74</v>
      </c>
      <c r="J12" s="40">
        <f t="shared" si="2"/>
        <v>140.6543829593268</v>
      </c>
      <c r="K12" s="31">
        <f>(F12/$G$92)*Costs!$B$23</f>
        <v>229.71598741104353</v>
      </c>
      <c r="L12" s="31">
        <f t="shared" si="3"/>
        <v>370.37037037037032</v>
      </c>
      <c r="M12" s="31">
        <f t="shared" si="4"/>
        <v>29.629629629629626</v>
      </c>
      <c r="N12" s="40">
        <v>400</v>
      </c>
      <c r="O12" s="25">
        <f>Table13[[#This Row],[Total Selling Price / Unit (MVR)]]*Table13[[#This Row],[Qty 
(NOS)]]</f>
        <v>1600</v>
      </c>
      <c r="P12" s="64">
        <f t="shared" si="18"/>
        <v>1600</v>
      </c>
      <c r="Q12" s="64">
        <v>400</v>
      </c>
      <c r="R12" s="64">
        <f t="shared" si="19"/>
        <v>320</v>
      </c>
      <c r="S12" s="7">
        <v>21.36</v>
      </c>
      <c r="T12" s="28">
        <f t="shared" si="20"/>
        <v>469.91999999999996</v>
      </c>
      <c r="U12" s="28">
        <v>487.52</v>
      </c>
      <c r="V12" s="7">
        <v>22.16</v>
      </c>
      <c r="W12" s="7">
        <v>7.06</v>
      </c>
      <c r="X12" s="28">
        <f t="shared" si="5"/>
        <v>1242.56</v>
      </c>
      <c r="Y12" s="28">
        <v>315</v>
      </c>
      <c r="Z12" s="60">
        <f t="shared" si="21"/>
        <v>310.64</v>
      </c>
      <c r="AA12" s="70">
        <v>155.32</v>
      </c>
      <c r="AB12" s="28">
        <v>322.74</v>
      </c>
      <c r="AC12" s="28">
        <v>400</v>
      </c>
      <c r="AD12" s="25">
        <f t="shared" si="6"/>
        <v>341.7072</v>
      </c>
      <c r="AE12" s="25">
        <f t="shared" si="7"/>
        <v>369.04377600000004</v>
      </c>
      <c r="AF12" s="25">
        <f t="shared" si="8"/>
        <v>1476.1751040000001</v>
      </c>
      <c r="AG12" s="25">
        <f t="shared" si="9"/>
        <v>480.48719999999997</v>
      </c>
      <c r="AH12" s="25">
        <f t="shared" si="10"/>
        <v>518.92617600000005</v>
      </c>
      <c r="AI12" s="25">
        <f t="shared" si="11"/>
        <v>2075.7047040000002</v>
      </c>
      <c r="AJ12" s="25">
        <f t="shared" si="12"/>
        <v>487.52</v>
      </c>
      <c r="AK12" s="25">
        <f t="shared" si="13"/>
        <v>526.52160000000003</v>
      </c>
      <c r="AL12" s="25">
        <f t="shared" si="14"/>
        <v>2106.0864000000001</v>
      </c>
      <c r="AM12" s="25">
        <f t="shared" si="15"/>
        <v>685.52</v>
      </c>
      <c r="AN12" s="25">
        <f t="shared" si="16"/>
        <v>740.36160000000007</v>
      </c>
      <c r="AO12" s="25">
        <f t="shared" si="17"/>
        <v>2961.4464000000003</v>
      </c>
      <c r="AP12" s="22">
        <f>Table13[[#This Row],[Total Selling Price / Unit (MVR)]]/Table13[[#This Row],[CNF / Unit
(MVR)]]</f>
        <v>2.5753283543651815</v>
      </c>
      <c r="AQ12" s="36">
        <f>Table13[[#This Row],[Total Selling Price / Unit (MVR)]]-(Table13[[#This Row],[GST 8%
(MVR)]]+Table13[[#This Row],[Weighted max
expense (MVR)]])</f>
        <v>140.65438295932682</v>
      </c>
      <c r="AR12" s="37">
        <f>Table13[[#This Row],[Profit / Unit (MVR)]]*Table13[[#This Row],[Qty 
(NOS)]]</f>
        <v>562.6175318373073</v>
      </c>
      <c r="AS12"/>
      <c r="AT12"/>
    </row>
    <row r="13" spans="1:47" x14ac:dyDescent="0.25">
      <c r="A13" t="s">
        <v>93</v>
      </c>
      <c r="B13" s="12" t="s">
        <v>116</v>
      </c>
      <c r="C13" s="4">
        <v>4</v>
      </c>
      <c r="D13" s="7">
        <v>7.06</v>
      </c>
      <c r="E13" s="28">
        <v>28.24</v>
      </c>
      <c r="F13" s="28">
        <f t="shared" si="0"/>
        <v>155.32</v>
      </c>
      <c r="G13" s="4">
        <f t="shared" si="1"/>
        <v>621.28</v>
      </c>
      <c r="H13" s="28">
        <v>487.52</v>
      </c>
      <c r="I13" s="28">
        <v>322.74</v>
      </c>
      <c r="J13" s="39">
        <f t="shared" si="2"/>
        <v>140.6543829593268</v>
      </c>
      <c r="K13" s="30">
        <f>(F13/$G$92)*Costs!$B$23</f>
        <v>229.71598741104353</v>
      </c>
      <c r="L13" s="30">
        <f t="shared" si="3"/>
        <v>370.37037037037032</v>
      </c>
      <c r="M13" s="30">
        <f t="shared" si="4"/>
        <v>29.629629629629626</v>
      </c>
      <c r="N13" s="39">
        <v>400</v>
      </c>
      <c r="O13" s="25">
        <f>Table13[[#This Row],[Total Selling Price / Unit (MVR)]]*Table13[[#This Row],[Qty 
(NOS)]]</f>
        <v>1600</v>
      </c>
      <c r="P13" s="64">
        <f t="shared" si="18"/>
        <v>1600</v>
      </c>
      <c r="Q13" s="64">
        <v>400</v>
      </c>
      <c r="R13" s="64">
        <f t="shared" si="19"/>
        <v>320</v>
      </c>
      <c r="S13" s="7">
        <v>21.36</v>
      </c>
      <c r="T13" s="28">
        <f t="shared" si="20"/>
        <v>469.91999999999996</v>
      </c>
      <c r="U13" s="28">
        <v>487.52</v>
      </c>
      <c r="V13" s="7">
        <v>22.16</v>
      </c>
      <c r="W13" s="7">
        <v>7.06</v>
      </c>
      <c r="X13" s="28">
        <f t="shared" si="5"/>
        <v>1242.56</v>
      </c>
      <c r="Y13" s="28">
        <v>315</v>
      </c>
      <c r="Z13" s="60">
        <f t="shared" si="21"/>
        <v>310.64</v>
      </c>
      <c r="AA13" s="69">
        <v>155.32</v>
      </c>
      <c r="AB13" s="28">
        <v>322.74</v>
      </c>
      <c r="AC13" s="28">
        <v>400</v>
      </c>
      <c r="AD13" s="25">
        <f t="shared" si="6"/>
        <v>341.7072</v>
      </c>
      <c r="AE13" s="25">
        <f t="shared" si="7"/>
        <v>369.04377600000004</v>
      </c>
      <c r="AF13" s="25">
        <f t="shared" si="8"/>
        <v>1476.1751040000001</v>
      </c>
      <c r="AG13" s="25">
        <f t="shared" si="9"/>
        <v>480.48719999999997</v>
      </c>
      <c r="AH13" s="25">
        <f t="shared" si="10"/>
        <v>518.92617600000005</v>
      </c>
      <c r="AI13" s="25">
        <f t="shared" si="11"/>
        <v>2075.7047040000002</v>
      </c>
      <c r="AJ13" s="25">
        <f t="shared" si="12"/>
        <v>487.52</v>
      </c>
      <c r="AK13" s="25">
        <f t="shared" si="13"/>
        <v>526.52160000000003</v>
      </c>
      <c r="AL13" s="25">
        <f t="shared" si="14"/>
        <v>2106.0864000000001</v>
      </c>
      <c r="AM13" s="25">
        <f t="shared" si="15"/>
        <v>685.52</v>
      </c>
      <c r="AN13" s="25">
        <f t="shared" si="16"/>
        <v>740.36160000000007</v>
      </c>
      <c r="AO13" s="25">
        <f t="shared" si="17"/>
        <v>2961.4464000000003</v>
      </c>
      <c r="AP13" s="22">
        <f>Table13[[#This Row],[Total Selling Price / Unit (MVR)]]/Table13[[#This Row],[CNF / Unit
(MVR)]]</f>
        <v>2.5753283543651815</v>
      </c>
      <c r="AQ13" s="34">
        <f>Table13[[#This Row],[Total Selling Price / Unit (MVR)]]-(Table13[[#This Row],[GST 8%
(MVR)]]+Table13[[#This Row],[Weighted max
expense (MVR)]])</f>
        <v>140.65438295932682</v>
      </c>
      <c r="AR13" s="35">
        <f>Table13[[#This Row],[Profit / Unit (MVR)]]*Table13[[#This Row],[Qty 
(NOS)]]</f>
        <v>562.6175318373073</v>
      </c>
      <c r="AS13"/>
      <c r="AT13"/>
    </row>
    <row r="14" spans="1:47" x14ac:dyDescent="0.25">
      <c r="A14" t="s">
        <v>28</v>
      </c>
      <c r="B14" s="12" t="s">
        <v>116</v>
      </c>
      <c r="C14" s="4">
        <v>8</v>
      </c>
      <c r="D14" s="7">
        <v>6.84</v>
      </c>
      <c r="E14" s="28">
        <v>54.72</v>
      </c>
      <c r="F14" s="28">
        <f t="shared" si="0"/>
        <v>150.47999999999999</v>
      </c>
      <c r="G14" s="4">
        <f t="shared" si="1"/>
        <v>1203.8399999999999</v>
      </c>
      <c r="H14" s="28" t="s">
        <v>114</v>
      </c>
      <c r="I14" s="28">
        <v>403.04</v>
      </c>
      <c r="J14" s="40">
        <f t="shared" si="2"/>
        <v>180.22007892628517</v>
      </c>
      <c r="K14" s="31">
        <f>(F14/$G$92)*Costs!$B$23</f>
        <v>222.5576988514926</v>
      </c>
      <c r="L14" s="31">
        <f t="shared" si="3"/>
        <v>402.77777777777777</v>
      </c>
      <c r="M14" s="31">
        <f t="shared" si="4"/>
        <v>32.222222222222221</v>
      </c>
      <c r="N14" s="40">
        <v>435</v>
      </c>
      <c r="O14" s="25">
        <f>Table13[[#This Row],[Total Selling Price / Unit (MVR)]]*Table13[[#This Row],[Qty 
(NOS)]]</f>
        <v>3480</v>
      </c>
      <c r="P14" s="64">
        <f t="shared" si="18"/>
        <v>3480</v>
      </c>
      <c r="Q14" s="64">
        <v>435</v>
      </c>
      <c r="R14" s="64">
        <f t="shared" si="19"/>
        <v>348</v>
      </c>
      <c r="S14" s="7">
        <v>21.36</v>
      </c>
      <c r="T14" s="28">
        <f t="shared" si="20"/>
        <v>469.91999999999996</v>
      </c>
      <c r="U14" s="28" t="s">
        <v>114</v>
      </c>
      <c r="V14" s="61">
        <v>22.16</v>
      </c>
      <c r="W14" s="7">
        <v>6.84</v>
      </c>
      <c r="X14" s="28">
        <f t="shared" si="5"/>
        <v>2407.6799999999998</v>
      </c>
      <c r="Y14" s="28">
        <v>305</v>
      </c>
      <c r="Z14" s="60">
        <f t="shared" si="21"/>
        <v>300.95999999999998</v>
      </c>
      <c r="AA14" s="70">
        <v>150.47999999999999</v>
      </c>
      <c r="AB14" s="28">
        <v>403.04</v>
      </c>
      <c r="AC14" s="28">
        <v>435</v>
      </c>
      <c r="AD14" s="25">
        <f t="shared" si="6"/>
        <v>341.7072</v>
      </c>
      <c r="AE14" s="25">
        <f t="shared" si="7"/>
        <v>369.04377600000004</v>
      </c>
      <c r="AF14" s="25">
        <f t="shared" si="8"/>
        <v>2952.3502080000003</v>
      </c>
      <c r="AG14" s="25">
        <f t="shared" si="9"/>
        <v>480.48719999999997</v>
      </c>
      <c r="AH14" s="25">
        <f t="shared" si="10"/>
        <v>518.92617600000005</v>
      </c>
      <c r="AI14" s="25">
        <f t="shared" si="11"/>
        <v>4151.4094080000004</v>
      </c>
      <c r="AJ14" s="25">
        <f t="shared" si="12"/>
        <v>487.52</v>
      </c>
      <c r="AK14" s="25">
        <f t="shared" si="13"/>
        <v>526.52160000000003</v>
      </c>
      <c r="AL14" s="25">
        <f t="shared" si="14"/>
        <v>4212.1728000000003</v>
      </c>
      <c r="AM14" s="25">
        <f t="shared" si="15"/>
        <v>685.52</v>
      </c>
      <c r="AN14" s="25">
        <f t="shared" si="16"/>
        <v>740.36160000000007</v>
      </c>
      <c r="AO14" s="25">
        <f t="shared" si="17"/>
        <v>5922.8928000000005</v>
      </c>
      <c r="AP14" s="22">
        <f>Table13[[#This Row],[Total Selling Price / Unit (MVR)]]/Table13[[#This Row],[CNF / Unit
(MVR)]]</f>
        <v>2.8907496012759171</v>
      </c>
      <c r="AQ14" s="36">
        <f>Table13[[#This Row],[Total Selling Price / Unit (MVR)]]-(Table13[[#This Row],[GST 8%
(MVR)]]+Table13[[#This Row],[Weighted max
expense (MVR)]])</f>
        <v>180.22007892628517</v>
      </c>
      <c r="AR14" s="37">
        <f>Table13[[#This Row],[Profit / Unit (MVR)]]*Table13[[#This Row],[Qty 
(NOS)]]</f>
        <v>1441.7606314102813</v>
      </c>
      <c r="AS14"/>
      <c r="AT14"/>
    </row>
    <row r="15" spans="1:47" x14ac:dyDescent="0.25">
      <c r="A15" t="s">
        <v>27</v>
      </c>
      <c r="B15" s="12" t="s">
        <v>116</v>
      </c>
      <c r="C15" s="4">
        <v>6</v>
      </c>
      <c r="D15" s="7">
        <v>6.84</v>
      </c>
      <c r="E15" s="28">
        <v>41.04</v>
      </c>
      <c r="F15" s="28">
        <f t="shared" si="0"/>
        <v>150.47999999999999</v>
      </c>
      <c r="G15" s="4">
        <f t="shared" si="1"/>
        <v>902.87999999999988</v>
      </c>
      <c r="H15" s="28" t="s">
        <v>114</v>
      </c>
      <c r="I15" s="28">
        <v>403.04</v>
      </c>
      <c r="J15" s="39">
        <f t="shared" si="2"/>
        <v>180.22007892628517</v>
      </c>
      <c r="K15" s="30">
        <f>(F15/$G$92)*Costs!$B$23</f>
        <v>222.5576988514926</v>
      </c>
      <c r="L15" s="30">
        <f t="shared" si="3"/>
        <v>402.77777777777777</v>
      </c>
      <c r="M15" s="30">
        <f t="shared" si="4"/>
        <v>32.222222222222221</v>
      </c>
      <c r="N15" s="39">
        <v>435</v>
      </c>
      <c r="O15" s="25">
        <f>Table13[[#This Row],[Total Selling Price / Unit (MVR)]]*Table13[[#This Row],[Qty 
(NOS)]]</f>
        <v>2610</v>
      </c>
      <c r="P15" s="64">
        <f t="shared" si="18"/>
        <v>2610</v>
      </c>
      <c r="Q15" s="64">
        <v>435</v>
      </c>
      <c r="R15" s="64">
        <f t="shared" si="19"/>
        <v>348</v>
      </c>
      <c r="S15" s="7">
        <v>21.36</v>
      </c>
      <c r="T15" s="28">
        <f t="shared" si="20"/>
        <v>469.91999999999996</v>
      </c>
      <c r="U15" s="28" t="s">
        <v>114</v>
      </c>
      <c r="V15" s="61">
        <v>22.16</v>
      </c>
      <c r="W15" s="7">
        <v>6.84</v>
      </c>
      <c r="X15" s="28">
        <f t="shared" si="5"/>
        <v>1805.7599999999998</v>
      </c>
      <c r="Y15" s="28">
        <v>305</v>
      </c>
      <c r="Z15" s="60">
        <f t="shared" si="21"/>
        <v>300.95999999999998</v>
      </c>
      <c r="AA15" s="69">
        <v>150.47999999999999</v>
      </c>
      <c r="AB15" s="28">
        <v>403.04</v>
      </c>
      <c r="AC15" s="28">
        <v>435</v>
      </c>
      <c r="AD15" s="25">
        <f t="shared" si="6"/>
        <v>341.7072</v>
      </c>
      <c r="AE15" s="25">
        <f t="shared" si="7"/>
        <v>369.04377600000004</v>
      </c>
      <c r="AF15" s="25">
        <f t="shared" si="8"/>
        <v>2214.2626560000003</v>
      </c>
      <c r="AG15" s="25">
        <f t="shared" si="9"/>
        <v>480.48719999999997</v>
      </c>
      <c r="AH15" s="25">
        <f t="shared" si="10"/>
        <v>518.92617600000005</v>
      </c>
      <c r="AI15" s="25">
        <f t="shared" si="11"/>
        <v>3113.5570560000006</v>
      </c>
      <c r="AJ15" s="25">
        <f t="shared" si="12"/>
        <v>487.52</v>
      </c>
      <c r="AK15" s="25">
        <f t="shared" si="13"/>
        <v>526.52160000000003</v>
      </c>
      <c r="AL15" s="25">
        <f t="shared" si="14"/>
        <v>3159.1296000000002</v>
      </c>
      <c r="AM15" s="25">
        <f t="shared" si="15"/>
        <v>685.52</v>
      </c>
      <c r="AN15" s="25">
        <f t="shared" si="16"/>
        <v>740.36160000000007</v>
      </c>
      <c r="AO15" s="25">
        <f t="shared" si="17"/>
        <v>4442.1696000000002</v>
      </c>
      <c r="AP15" s="22">
        <f>Table13[[#This Row],[Total Selling Price / Unit (MVR)]]/Table13[[#This Row],[CNF / Unit
(MVR)]]</f>
        <v>2.8907496012759171</v>
      </c>
      <c r="AQ15" s="34">
        <f>Table13[[#This Row],[Total Selling Price / Unit (MVR)]]-(Table13[[#This Row],[GST 8%
(MVR)]]+Table13[[#This Row],[Weighted max
expense (MVR)]])</f>
        <v>180.22007892628517</v>
      </c>
      <c r="AR15" s="35">
        <f>Table13[[#This Row],[Profit / Unit (MVR)]]*Table13[[#This Row],[Qty 
(NOS)]]</f>
        <v>1081.320473557711</v>
      </c>
      <c r="AS15"/>
      <c r="AT15"/>
    </row>
    <row r="16" spans="1:47" x14ac:dyDescent="0.25">
      <c r="A16" t="s">
        <v>92</v>
      </c>
      <c r="B16" s="12" t="s">
        <v>116</v>
      </c>
      <c r="C16" s="4">
        <v>4</v>
      </c>
      <c r="D16" s="7">
        <v>7.06</v>
      </c>
      <c r="E16" s="28">
        <v>28.24</v>
      </c>
      <c r="F16" s="28">
        <f t="shared" si="0"/>
        <v>155.32</v>
      </c>
      <c r="G16" s="4">
        <f t="shared" si="1"/>
        <v>621.28</v>
      </c>
      <c r="H16" s="28">
        <v>487.52</v>
      </c>
      <c r="I16" s="28">
        <v>322.74</v>
      </c>
      <c r="J16" s="40">
        <f t="shared" si="2"/>
        <v>140.6543829593268</v>
      </c>
      <c r="K16" s="31">
        <f>(F16/$G$92)*Costs!$B$23</f>
        <v>229.71598741104353</v>
      </c>
      <c r="L16" s="31">
        <f t="shared" si="3"/>
        <v>370.37037037037032</v>
      </c>
      <c r="M16" s="31">
        <f t="shared" si="4"/>
        <v>29.629629629629626</v>
      </c>
      <c r="N16" s="40">
        <v>400</v>
      </c>
      <c r="O16" s="25">
        <f>Table13[[#This Row],[Total Selling Price / Unit (MVR)]]*Table13[[#This Row],[Qty 
(NOS)]]</f>
        <v>1600</v>
      </c>
      <c r="P16" s="64">
        <f t="shared" si="18"/>
        <v>1600</v>
      </c>
      <c r="Q16" s="64">
        <v>400</v>
      </c>
      <c r="R16" s="64">
        <f t="shared" si="19"/>
        <v>320</v>
      </c>
      <c r="S16" s="7">
        <v>21.36</v>
      </c>
      <c r="T16" s="28">
        <f t="shared" si="20"/>
        <v>469.91999999999996</v>
      </c>
      <c r="U16" s="28">
        <v>487.52</v>
      </c>
      <c r="V16" s="7">
        <v>22.16</v>
      </c>
      <c r="W16" s="7">
        <v>7.06</v>
      </c>
      <c r="X16" s="28">
        <f t="shared" si="5"/>
        <v>1242.56</v>
      </c>
      <c r="Y16" s="28">
        <v>315</v>
      </c>
      <c r="Z16" s="60">
        <f t="shared" si="21"/>
        <v>310.64</v>
      </c>
      <c r="AA16" s="70">
        <v>155.32</v>
      </c>
      <c r="AB16" s="28">
        <v>322.74</v>
      </c>
      <c r="AC16" s="28">
        <v>400</v>
      </c>
      <c r="AD16" s="25">
        <f t="shared" si="6"/>
        <v>341.7072</v>
      </c>
      <c r="AE16" s="25">
        <f t="shared" si="7"/>
        <v>369.04377600000004</v>
      </c>
      <c r="AF16" s="25">
        <f t="shared" si="8"/>
        <v>1476.1751040000001</v>
      </c>
      <c r="AG16" s="25">
        <f t="shared" si="9"/>
        <v>480.48719999999997</v>
      </c>
      <c r="AH16" s="25">
        <f t="shared" si="10"/>
        <v>518.92617600000005</v>
      </c>
      <c r="AI16" s="25">
        <f t="shared" si="11"/>
        <v>2075.7047040000002</v>
      </c>
      <c r="AJ16" s="25">
        <f t="shared" si="12"/>
        <v>487.52</v>
      </c>
      <c r="AK16" s="25">
        <f t="shared" si="13"/>
        <v>526.52160000000003</v>
      </c>
      <c r="AL16" s="25">
        <f t="shared" si="14"/>
        <v>2106.0864000000001</v>
      </c>
      <c r="AM16" s="25">
        <f t="shared" si="15"/>
        <v>685.52</v>
      </c>
      <c r="AN16" s="25">
        <f t="shared" si="16"/>
        <v>740.36160000000007</v>
      </c>
      <c r="AO16" s="25">
        <f t="shared" si="17"/>
        <v>2961.4464000000003</v>
      </c>
      <c r="AP16" s="22">
        <f>Table13[[#This Row],[Total Selling Price / Unit (MVR)]]/Table13[[#This Row],[CNF / Unit
(MVR)]]</f>
        <v>2.5753283543651815</v>
      </c>
      <c r="AQ16" s="36">
        <f>Table13[[#This Row],[Total Selling Price / Unit (MVR)]]-(Table13[[#This Row],[GST 8%
(MVR)]]+Table13[[#This Row],[Weighted max
expense (MVR)]])</f>
        <v>140.65438295932682</v>
      </c>
      <c r="AR16" s="37">
        <f>Table13[[#This Row],[Profit / Unit (MVR)]]*Table13[[#This Row],[Qty 
(NOS)]]</f>
        <v>562.6175318373073</v>
      </c>
      <c r="AS16"/>
      <c r="AT16"/>
    </row>
    <row r="17" spans="1:46" x14ac:dyDescent="0.25">
      <c r="A17" t="s">
        <v>95</v>
      </c>
      <c r="B17" s="12" t="s">
        <v>116</v>
      </c>
      <c r="C17" s="4">
        <v>4</v>
      </c>
      <c r="D17" s="7">
        <v>4.24</v>
      </c>
      <c r="E17" s="28">
        <v>16.96</v>
      </c>
      <c r="F17" s="28">
        <f t="shared" si="0"/>
        <v>93.28</v>
      </c>
      <c r="G17" s="4">
        <f t="shared" si="1"/>
        <v>373.12</v>
      </c>
      <c r="H17" s="28">
        <v>407.66</v>
      </c>
      <c r="I17" s="28">
        <v>162.35999999999999</v>
      </c>
      <c r="J17" s="39">
        <f t="shared" si="2"/>
        <v>186.11433092636523</v>
      </c>
      <c r="K17" s="30">
        <f>(F17/$G$92)*Costs!$B$23</f>
        <v>137.95974314770885</v>
      </c>
      <c r="L17" s="30">
        <f t="shared" si="3"/>
        <v>324.07407407407408</v>
      </c>
      <c r="M17" s="30">
        <f t="shared" si="4"/>
        <v>25.925925925925927</v>
      </c>
      <c r="N17" s="39">
        <v>350</v>
      </c>
      <c r="O17" s="25">
        <f>Table13[[#This Row],[Total Selling Price / Unit (MVR)]]*Table13[[#This Row],[Qty 
(NOS)]]</f>
        <v>1400</v>
      </c>
      <c r="P17" s="64">
        <f t="shared" si="18"/>
        <v>1280</v>
      </c>
      <c r="Q17" s="64">
        <v>320</v>
      </c>
      <c r="R17" s="64">
        <f t="shared" si="19"/>
        <v>256</v>
      </c>
      <c r="S17" s="7">
        <v>17.86</v>
      </c>
      <c r="T17" s="28">
        <f t="shared" si="20"/>
        <v>392.91999999999996</v>
      </c>
      <c r="U17" s="28">
        <v>407.66</v>
      </c>
      <c r="V17" s="7">
        <v>18.53</v>
      </c>
      <c r="W17" s="7">
        <v>4.24</v>
      </c>
      <c r="X17" s="28">
        <f t="shared" si="5"/>
        <v>746.24</v>
      </c>
      <c r="Y17" s="28">
        <v>190</v>
      </c>
      <c r="Z17" s="60">
        <f t="shared" si="21"/>
        <v>186.56</v>
      </c>
      <c r="AA17" s="69">
        <v>93.28</v>
      </c>
      <c r="AB17" s="28">
        <v>162.35999999999999</v>
      </c>
      <c r="AC17" s="28">
        <v>350</v>
      </c>
      <c r="AD17" s="25">
        <f t="shared" si="6"/>
        <v>285.73259999999999</v>
      </c>
      <c r="AE17" s="25">
        <f t="shared" si="7"/>
        <v>308.59120799999999</v>
      </c>
      <c r="AF17" s="25">
        <f t="shared" si="8"/>
        <v>1234.364832</v>
      </c>
      <c r="AG17" s="25">
        <f t="shared" si="9"/>
        <v>424.51260000000002</v>
      </c>
      <c r="AH17" s="25">
        <f t="shared" si="10"/>
        <v>458.47360800000007</v>
      </c>
      <c r="AI17" s="25">
        <f t="shared" si="11"/>
        <v>1833.8944320000003</v>
      </c>
      <c r="AJ17" s="25">
        <f t="shared" si="12"/>
        <v>407.66</v>
      </c>
      <c r="AK17" s="25">
        <f t="shared" si="13"/>
        <v>440.27280000000007</v>
      </c>
      <c r="AL17" s="25">
        <f t="shared" si="14"/>
        <v>1761.0912000000003</v>
      </c>
      <c r="AM17" s="25">
        <f t="shared" si="15"/>
        <v>605.66000000000008</v>
      </c>
      <c r="AN17" s="25">
        <f t="shared" si="16"/>
        <v>654.11280000000011</v>
      </c>
      <c r="AO17" s="25">
        <f t="shared" si="17"/>
        <v>2616.4512000000004</v>
      </c>
      <c r="AP17" s="22">
        <f>Table13[[#This Row],[Total Selling Price / Unit (MVR)]]/Table13[[#This Row],[CNF / Unit
(MVR)]]</f>
        <v>3.7521440823327614</v>
      </c>
      <c r="AQ17" s="34">
        <f>Table13[[#This Row],[Total Selling Price / Unit (MVR)]]-(Table13[[#This Row],[GST 8%
(MVR)]]+Table13[[#This Row],[Weighted max
expense (MVR)]])</f>
        <v>186.11433092636523</v>
      </c>
      <c r="AR17" s="35">
        <f>Table13[[#This Row],[Profit / Unit (MVR)]]*Table13[[#This Row],[Qty 
(NOS)]]</f>
        <v>744.45732370546091</v>
      </c>
      <c r="AS17"/>
      <c r="AT17"/>
    </row>
    <row r="18" spans="1:46" x14ac:dyDescent="0.25">
      <c r="A18" t="s">
        <v>94</v>
      </c>
      <c r="B18" s="12" t="s">
        <v>116</v>
      </c>
      <c r="C18" s="4">
        <v>4</v>
      </c>
      <c r="D18" s="7">
        <v>4.24</v>
      </c>
      <c r="E18" s="28">
        <v>16.96</v>
      </c>
      <c r="F18" s="28">
        <f t="shared" si="0"/>
        <v>93.28</v>
      </c>
      <c r="G18" s="4">
        <f t="shared" si="1"/>
        <v>373.12</v>
      </c>
      <c r="H18" s="28">
        <v>407.66</v>
      </c>
      <c r="I18" s="28">
        <v>162.35999999999999</v>
      </c>
      <c r="J18" s="40">
        <f t="shared" si="2"/>
        <v>186.11433092636523</v>
      </c>
      <c r="K18" s="31">
        <f>(F18/$G$92)*Costs!$B$23</f>
        <v>137.95974314770885</v>
      </c>
      <c r="L18" s="31">
        <f t="shared" si="3"/>
        <v>324.07407407407408</v>
      </c>
      <c r="M18" s="31">
        <f t="shared" si="4"/>
        <v>25.925925925925927</v>
      </c>
      <c r="N18" s="40">
        <v>350</v>
      </c>
      <c r="O18" s="25">
        <f>Table13[[#This Row],[Total Selling Price / Unit (MVR)]]*Table13[[#This Row],[Qty 
(NOS)]]</f>
        <v>1400</v>
      </c>
      <c r="P18" s="64">
        <f t="shared" si="18"/>
        <v>1280</v>
      </c>
      <c r="Q18" s="64">
        <v>320</v>
      </c>
      <c r="R18" s="64">
        <f t="shared" si="19"/>
        <v>256</v>
      </c>
      <c r="S18" s="7">
        <v>17.86</v>
      </c>
      <c r="T18" s="28">
        <f t="shared" si="20"/>
        <v>392.91999999999996</v>
      </c>
      <c r="U18" s="28">
        <v>407.66</v>
      </c>
      <c r="V18" s="7">
        <v>18.53</v>
      </c>
      <c r="W18" s="7">
        <v>4.24</v>
      </c>
      <c r="X18" s="28">
        <f t="shared" si="5"/>
        <v>746.24</v>
      </c>
      <c r="Y18" s="28">
        <v>190</v>
      </c>
      <c r="Z18" s="60">
        <f t="shared" si="21"/>
        <v>186.56</v>
      </c>
      <c r="AA18" s="70">
        <v>93.28</v>
      </c>
      <c r="AB18" s="28">
        <v>162.35999999999999</v>
      </c>
      <c r="AC18" s="28">
        <v>350</v>
      </c>
      <c r="AD18" s="25">
        <f t="shared" si="6"/>
        <v>285.73259999999999</v>
      </c>
      <c r="AE18" s="25">
        <f t="shared" si="7"/>
        <v>308.59120799999999</v>
      </c>
      <c r="AF18" s="25">
        <f t="shared" si="8"/>
        <v>1234.364832</v>
      </c>
      <c r="AG18" s="25">
        <f t="shared" si="9"/>
        <v>424.51260000000002</v>
      </c>
      <c r="AH18" s="25">
        <f t="shared" si="10"/>
        <v>458.47360800000007</v>
      </c>
      <c r="AI18" s="25">
        <f t="shared" si="11"/>
        <v>1833.8944320000003</v>
      </c>
      <c r="AJ18" s="25">
        <f t="shared" si="12"/>
        <v>407.66</v>
      </c>
      <c r="AK18" s="25">
        <f t="shared" si="13"/>
        <v>440.27280000000007</v>
      </c>
      <c r="AL18" s="25">
        <f t="shared" si="14"/>
        <v>1761.0912000000003</v>
      </c>
      <c r="AM18" s="25">
        <f t="shared" si="15"/>
        <v>605.66000000000008</v>
      </c>
      <c r="AN18" s="25">
        <f t="shared" si="16"/>
        <v>654.11280000000011</v>
      </c>
      <c r="AO18" s="25">
        <f t="shared" si="17"/>
        <v>2616.4512000000004</v>
      </c>
      <c r="AP18" s="22">
        <f>Table13[[#This Row],[Total Selling Price / Unit (MVR)]]/Table13[[#This Row],[CNF / Unit
(MVR)]]</f>
        <v>3.7521440823327614</v>
      </c>
      <c r="AQ18" s="36">
        <f>Table13[[#This Row],[Total Selling Price / Unit (MVR)]]-(Table13[[#This Row],[GST 8%
(MVR)]]+Table13[[#This Row],[Weighted max
expense (MVR)]])</f>
        <v>186.11433092636523</v>
      </c>
      <c r="AR18" s="37">
        <f>Table13[[#This Row],[Profit / Unit (MVR)]]*Table13[[#This Row],[Qty 
(NOS)]]</f>
        <v>744.45732370546091</v>
      </c>
      <c r="AS18"/>
      <c r="AT18"/>
    </row>
    <row r="19" spans="1:46" x14ac:dyDescent="0.25">
      <c r="A19" t="s">
        <v>47</v>
      </c>
      <c r="B19" s="12" t="s">
        <v>116</v>
      </c>
      <c r="C19" s="4">
        <v>4</v>
      </c>
      <c r="D19" s="7">
        <v>7.06</v>
      </c>
      <c r="E19" s="28">
        <v>28.24</v>
      </c>
      <c r="F19" s="28">
        <f t="shared" si="0"/>
        <v>155.32</v>
      </c>
      <c r="G19" s="4">
        <f t="shared" si="1"/>
        <v>621.28</v>
      </c>
      <c r="H19" s="28">
        <v>487.52</v>
      </c>
      <c r="I19" s="28">
        <v>322.74</v>
      </c>
      <c r="J19" s="39">
        <f t="shared" si="2"/>
        <v>140.6543829593268</v>
      </c>
      <c r="K19" s="30">
        <f>(F19/$G$92)*Costs!$B$23</f>
        <v>229.71598741104353</v>
      </c>
      <c r="L19" s="30">
        <f t="shared" si="3"/>
        <v>370.37037037037032</v>
      </c>
      <c r="M19" s="30">
        <f t="shared" si="4"/>
        <v>29.629629629629626</v>
      </c>
      <c r="N19" s="39">
        <v>400</v>
      </c>
      <c r="O19" s="25">
        <f>Table13[[#This Row],[Total Selling Price / Unit (MVR)]]*Table13[[#This Row],[Qty 
(NOS)]]</f>
        <v>1600</v>
      </c>
      <c r="P19" s="64">
        <f t="shared" si="18"/>
        <v>1600</v>
      </c>
      <c r="Q19" s="64">
        <v>400</v>
      </c>
      <c r="R19" s="64">
        <f t="shared" si="19"/>
        <v>320</v>
      </c>
      <c r="S19" s="7">
        <v>21.36</v>
      </c>
      <c r="T19" s="28">
        <f t="shared" si="20"/>
        <v>469.91999999999996</v>
      </c>
      <c r="U19" s="28">
        <v>487.52</v>
      </c>
      <c r="V19" s="7">
        <v>22.16</v>
      </c>
      <c r="W19" s="7">
        <v>7.06</v>
      </c>
      <c r="X19" s="28">
        <f t="shared" si="5"/>
        <v>1242.56</v>
      </c>
      <c r="Y19" s="28">
        <v>315</v>
      </c>
      <c r="Z19" s="60">
        <f t="shared" si="21"/>
        <v>310.64</v>
      </c>
      <c r="AA19" s="69">
        <v>155.32</v>
      </c>
      <c r="AB19" s="28">
        <v>322.74</v>
      </c>
      <c r="AC19" s="28">
        <v>400</v>
      </c>
      <c r="AD19" s="25">
        <f t="shared" si="6"/>
        <v>341.7072</v>
      </c>
      <c r="AE19" s="25">
        <f t="shared" si="7"/>
        <v>369.04377600000004</v>
      </c>
      <c r="AF19" s="25">
        <f t="shared" si="8"/>
        <v>1476.1751040000001</v>
      </c>
      <c r="AG19" s="25">
        <f t="shared" si="9"/>
        <v>480.48719999999997</v>
      </c>
      <c r="AH19" s="25">
        <f t="shared" si="10"/>
        <v>518.92617600000005</v>
      </c>
      <c r="AI19" s="25">
        <f t="shared" si="11"/>
        <v>2075.7047040000002</v>
      </c>
      <c r="AJ19" s="25">
        <f t="shared" si="12"/>
        <v>487.52</v>
      </c>
      <c r="AK19" s="25">
        <f t="shared" si="13"/>
        <v>526.52160000000003</v>
      </c>
      <c r="AL19" s="25">
        <f t="shared" si="14"/>
        <v>2106.0864000000001</v>
      </c>
      <c r="AM19" s="25">
        <f t="shared" si="15"/>
        <v>685.52</v>
      </c>
      <c r="AN19" s="25">
        <f t="shared" si="16"/>
        <v>740.36160000000007</v>
      </c>
      <c r="AO19" s="25">
        <f t="shared" si="17"/>
        <v>2961.4464000000003</v>
      </c>
      <c r="AP19" s="22">
        <f>Table13[[#This Row],[Total Selling Price / Unit (MVR)]]/Table13[[#This Row],[CNF / Unit
(MVR)]]</f>
        <v>2.5753283543651815</v>
      </c>
      <c r="AQ19" s="34">
        <f>Table13[[#This Row],[Total Selling Price / Unit (MVR)]]-(Table13[[#This Row],[GST 8%
(MVR)]]+Table13[[#This Row],[Weighted max
expense (MVR)]])</f>
        <v>140.65438295932682</v>
      </c>
      <c r="AR19" s="35">
        <f>Table13[[#This Row],[Profit / Unit (MVR)]]*Table13[[#This Row],[Qty 
(NOS)]]</f>
        <v>562.6175318373073</v>
      </c>
      <c r="AS19"/>
      <c r="AT19"/>
    </row>
    <row r="20" spans="1:46" x14ac:dyDescent="0.25">
      <c r="A20" t="s">
        <v>68</v>
      </c>
      <c r="B20" s="13" t="s">
        <v>117</v>
      </c>
      <c r="C20" s="4">
        <v>4</v>
      </c>
      <c r="D20" s="7">
        <v>4.57</v>
      </c>
      <c r="E20" s="28">
        <v>18.28</v>
      </c>
      <c r="F20" s="28">
        <f t="shared" si="0"/>
        <v>100.54</v>
      </c>
      <c r="G20" s="4">
        <f t="shared" si="1"/>
        <v>402.16</v>
      </c>
      <c r="H20" s="28">
        <v>407.66</v>
      </c>
      <c r="I20" s="28">
        <v>275</v>
      </c>
      <c r="J20" s="40">
        <f t="shared" si="2"/>
        <v>156.85837956852029</v>
      </c>
      <c r="K20" s="31">
        <f>(F20/$G$92)*Costs!$B$23</f>
        <v>148.69717598703525</v>
      </c>
      <c r="L20" s="31">
        <f t="shared" si="3"/>
        <v>305.55555555555554</v>
      </c>
      <c r="M20" s="31">
        <f t="shared" si="4"/>
        <v>24.444444444444443</v>
      </c>
      <c r="N20" s="40">
        <v>330</v>
      </c>
      <c r="O20" s="25">
        <f>Table13[[#This Row],[Total Selling Price / Unit (MVR)]]*Table13[[#This Row],[Qty 
(NOS)]]</f>
        <v>1320</v>
      </c>
      <c r="P20" s="64">
        <f t="shared" si="18"/>
        <v>1200</v>
      </c>
      <c r="Q20" s="64">
        <v>300</v>
      </c>
      <c r="R20" s="64">
        <f t="shared" si="19"/>
        <v>240</v>
      </c>
      <c r="S20" s="7">
        <v>7.14</v>
      </c>
      <c r="T20" s="28">
        <f t="shared" si="20"/>
        <v>157.07999999999998</v>
      </c>
      <c r="U20" s="28">
        <v>407.66</v>
      </c>
      <c r="V20" s="7">
        <v>18.53</v>
      </c>
      <c r="W20" s="7">
        <v>4.57</v>
      </c>
      <c r="X20" s="28">
        <f t="shared" si="5"/>
        <v>804.32</v>
      </c>
      <c r="Y20" s="28">
        <v>205</v>
      </c>
      <c r="Z20" s="60">
        <f t="shared" si="21"/>
        <v>201.08</v>
      </c>
      <c r="AA20" s="70">
        <v>100.54</v>
      </c>
      <c r="AB20" s="28">
        <v>275</v>
      </c>
      <c r="AC20" s="28">
        <v>330</v>
      </c>
      <c r="AD20" s="25">
        <f t="shared" si="6"/>
        <v>285.73259999999999</v>
      </c>
      <c r="AE20" s="25">
        <f t="shared" si="7"/>
        <v>308.59120799999999</v>
      </c>
      <c r="AF20" s="25">
        <f t="shared" si="8"/>
        <v>1234.364832</v>
      </c>
      <c r="AG20" s="25">
        <f t="shared" si="9"/>
        <v>424.51260000000002</v>
      </c>
      <c r="AH20" s="25">
        <f t="shared" si="10"/>
        <v>458.47360800000007</v>
      </c>
      <c r="AI20" s="25">
        <f t="shared" si="11"/>
        <v>1833.8944320000003</v>
      </c>
      <c r="AJ20" s="25">
        <f t="shared" si="12"/>
        <v>407.66</v>
      </c>
      <c r="AK20" s="25">
        <f t="shared" si="13"/>
        <v>440.27280000000007</v>
      </c>
      <c r="AL20" s="25">
        <f t="shared" si="14"/>
        <v>1761.0912000000003</v>
      </c>
      <c r="AM20" s="25">
        <f t="shared" si="15"/>
        <v>605.66000000000008</v>
      </c>
      <c r="AN20" s="25">
        <f t="shared" si="16"/>
        <v>654.11280000000011</v>
      </c>
      <c r="AO20" s="25">
        <f t="shared" si="17"/>
        <v>2616.4512000000004</v>
      </c>
      <c r="AP20" s="22">
        <f>Table13[[#This Row],[Total Selling Price / Unit (MVR)]]/Table13[[#This Row],[CNF / Unit
(MVR)]]</f>
        <v>3.2822757111597372</v>
      </c>
      <c r="AQ20" s="36">
        <f>Table13[[#This Row],[Total Selling Price / Unit (MVR)]]-(Table13[[#This Row],[GST 8%
(MVR)]]+Table13[[#This Row],[Weighted max
expense (MVR)]])</f>
        <v>156.85837956852032</v>
      </c>
      <c r="AR20" s="37">
        <f>Table13[[#This Row],[Profit / Unit (MVR)]]*Table13[[#This Row],[Qty 
(NOS)]]</f>
        <v>627.43351827408128</v>
      </c>
      <c r="AS20"/>
      <c r="AT20"/>
    </row>
    <row r="21" spans="1:46" x14ac:dyDescent="0.25">
      <c r="A21" t="s">
        <v>98</v>
      </c>
      <c r="B21" s="13" t="s">
        <v>117</v>
      </c>
      <c r="C21" s="4">
        <v>4</v>
      </c>
      <c r="D21" s="7">
        <v>4.66</v>
      </c>
      <c r="E21" s="28">
        <v>18.64</v>
      </c>
      <c r="F21" s="28">
        <f t="shared" si="0"/>
        <v>102.52000000000001</v>
      </c>
      <c r="G21" s="4">
        <f t="shared" si="1"/>
        <v>410.08000000000004</v>
      </c>
      <c r="H21" s="28">
        <v>211.86</v>
      </c>
      <c r="I21" s="28">
        <v>242.44</v>
      </c>
      <c r="J21" s="39">
        <f t="shared" si="2"/>
        <v>56.707766571936304</v>
      </c>
      <c r="K21" s="30">
        <f>(F21/$G$92)*Costs!$B$23</f>
        <v>151.62556676139701</v>
      </c>
      <c r="L21" s="30">
        <f t="shared" si="3"/>
        <v>208.33333333333331</v>
      </c>
      <c r="M21" s="30">
        <f t="shared" si="4"/>
        <v>16.666666666666664</v>
      </c>
      <c r="N21" s="39">
        <v>225</v>
      </c>
      <c r="O21" s="25">
        <f>Table13[[#This Row],[Total Selling Price / Unit (MVR)]]*Table13[[#This Row],[Qty 
(NOS)]]</f>
        <v>900</v>
      </c>
      <c r="P21" s="64">
        <f t="shared" si="18"/>
        <v>1200</v>
      </c>
      <c r="Q21" s="64">
        <v>300</v>
      </c>
      <c r="R21" s="64">
        <f t="shared" si="19"/>
        <v>240</v>
      </c>
      <c r="S21" s="7">
        <v>17.86</v>
      </c>
      <c r="T21" s="28">
        <f t="shared" si="20"/>
        <v>392.91999999999996</v>
      </c>
      <c r="U21" s="28">
        <v>211.86</v>
      </c>
      <c r="V21" s="7">
        <v>9.6300000000000008</v>
      </c>
      <c r="W21" s="7">
        <v>4.66</v>
      </c>
      <c r="X21" s="28">
        <f t="shared" si="5"/>
        <v>820.16000000000008</v>
      </c>
      <c r="Y21" s="28">
        <v>205</v>
      </c>
      <c r="Z21" s="60">
        <f t="shared" si="21"/>
        <v>205.04000000000002</v>
      </c>
      <c r="AA21" s="69">
        <v>102.52000000000001</v>
      </c>
      <c r="AB21" s="28">
        <v>242.44</v>
      </c>
      <c r="AC21" s="28">
        <v>225</v>
      </c>
      <c r="AD21" s="25">
        <f t="shared" si="6"/>
        <v>148.49460000000002</v>
      </c>
      <c r="AE21" s="25">
        <f t="shared" si="7"/>
        <v>160.37416800000003</v>
      </c>
      <c r="AF21" s="25">
        <f t="shared" si="8"/>
        <v>641.4966720000001</v>
      </c>
      <c r="AG21" s="25">
        <f t="shared" si="9"/>
        <v>287.27460000000002</v>
      </c>
      <c r="AH21" s="25">
        <f t="shared" si="10"/>
        <v>310.25656800000002</v>
      </c>
      <c r="AI21" s="25">
        <f t="shared" si="11"/>
        <v>1241.0262720000001</v>
      </c>
      <c r="AJ21" s="25">
        <f t="shared" si="12"/>
        <v>211.86</v>
      </c>
      <c r="AK21" s="25">
        <f t="shared" si="13"/>
        <v>228.80880000000002</v>
      </c>
      <c r="AL21" s="25">
        <f t="shared" si="14"/>
        <v>915.23520000000008</v>
      </c>
      <c r="AM21" s="25">
        <f t="shared" si="15"/>
        <v>409.86000000000007</v>
      </c>
      <c r="AN21" s="25">
        <f t="shared" si="16"/>
        <v>442.64880000000011</v>
      </c>
      <c r="AO21" s="25">
        <f t="shared" si="17"/>
        <v>1770.5952000000004</v>
      </c>
      <c r="AP21" s="22">
        <f>Table13[[#This Row],[Total Selling Price / Unit (MVR)]]/Table13[[#This Row],[CNF / Unit
(MVR)]]</f>
        <v>2.1946937182988684</v>
      </c>
      <c r="AQ21" s="34">
        <f>Table13[[#This Row],[Total Selling Price / Unit (MVR)]]-(Table13[[#This Row],[GST 8%
(MVR)]]+Table13[[#This Row],[Weighted max
expense (MVR)]])</f>
        <v>56.707766571936332</v>
      </c>
      <c r="AR21" s="35">
        <f>Table13[[#This Row],[Profit / Unit (MVR)]]*Table13[[#This Row],[Qty 
(NOS)]]</f>
        <v>226.83106628774533</v>
      </c>
      <c r="AS21"/>
      <c r="AT21"/>
    </row>
    <row r="22" spans="1:46" x14ac:dyDescent="0.25">
      <c r="A22" t="s">
        <v>30</v>
      </c>
      <c r="B22" s="13" t="s">
        <v>117</v>
      </c>
      <c r="C22" s="4">
        <v>7</v>
      </c>
      <c r="D22" s="7">
        <v>4.66</v>
      </c>
      <c r="E22" s="28">
        <v>32.620000000000005</v>
      </c>
      <c r="F22" s="28">
        <f t="shared" si="0"/>
        <v>102.52000000000001</v>
      </c>
      <c r="G22" s="4">
        <f t="shared" si="1"/>
        <v>717.6400000000001</v>
      </c>
      <c r="H22" s="28">
        <v>211.86</v>
      </c>
      <c r="I22" s="28">
        <v>242.44</v>
      </c>
      <c r="J22" s="40">
        <f t="shared" si="2"/>
        <v>56.707766571936304</v>
      </c>
      <c r="K22" s="31">
        <f>(F22/$G$92)*Costs!$B$23</f>
        <v>151.62556676139701</v>
      </c>
      <c r="L22" s="31">
        <f t="shared" si="3"/>
        <v>208.33333333333331</v>
      </c>
      <c r="M22" s="31">
        <f t="shared" si="4"/>
        <v>16.666666666666664</v>
      </c>
      <c r="N22" s="40">
        <v>225</v>
      </c>
      <c r="O22" s="25">
        <f>Table13[[#This Row],[Total Selling Price / Unit (MVR)]]*Table13[[#This Row],[Qty 
(NOS)]]</f>
        <v>1575</v>
      </c>
      <c r="P22" s="64">
        <f t="shared" si="18"/>
        <v>2100</v>
      </c>
      <c r="Q22" s="64">
        <v>300</v>
      </c>
      <c r="R22" s="64">
        <f t="shared" si="19"/>
        <v>240</v>
      </c>
      <c r="S22" s="7">
        <v>17.86</v>
      </c>
      <c r="T22" s="28">
        <f t="shared" si="20"/>
        <v>392.91999999999996</v>
      </c>
      <c r="U22" s="28">
        <v>211.86</v>
      </c>
      <c r="V22" s="7">
        <v>9.6300000000000008</v>
      </c>
      <c r="W22" s="7">
        <v>4.66</v>
      </c>
      <c r="X22" s="28">
        <f t="shared" si="5"/>
        <v>1435.2800000000002</v>
      </c>
      <c r="Y22" s="28">
        <v>205</v>
      </c>
      <c r="Z22" s="60">
        <f t="shared" si="21"/>
        <v>205.04000000000002</v>
      </c>
      <c r="AA22" s="70">
        <v>102.52000000000001</v>
      </c>
      <c r="AB22" s="28">
        <v>242.44</v>
      </c>
      <c r="AC22" s="28">
        <v>225</v>
      </c>
      <c r="AD22" s="25">
        <f t="shared" si="6"/>
        <v>148.49460000000002</v>
      </c>
      <c r="AE22" s="25">
        <f t="shared" si="7"/>
        <v>160.37416800000003</v>
      </c>
      <c r="AF22" s="25">
        <f t="shared" si="8"/>
        <v>1122.6191760000002</v>
      </c>
      <c r="AG22" s="25">
        <f t="shared" si="9"/>
        <v>287.27460000000002</v>
      </c>
      <c r="AH22" s="25">
        <f t="shared" si="10"/>
        <v>310.25656800000002</v>
      </c>
      <c r="AI22" s="25">
        <f t="shared" si="11"/>
        <v>2171.7959760000003</v>
      </c>
      <c r="AJ22" s="25">
        <f t="shared" si="12"/>
        <v>211.86</v>
      </c>
      <c r="AK22" s="25">
        <f t="shared" si="13"/>
        <v>228.80880000000002</v>
      </c>
      <c r="AL22" s="25">
        <f t="shared" si="14"/>
        <v>1601.6616000000001</v>
      </c>
      <c r="AM22" s="25">
        <f t="shared" si="15"/>
        <v>409.86000000000007</v>
      </c>
      <c r="AN22" s="25">
        <f t="shared" si="16"/>
        <v>442.64880000000011</v>
      </c>
      <c r="AO22" s="25">
        <f t="shared" si="17"/>
        <v>3098.5416000000009</v>
      </c>
      <c r="AP22" s="22">
        <f>Table13[[#This Row],[Total Selling Price / Unit (MVR)]]/Table13[[#This Row],[CNF / Unit
(MVR)]]</f>
        <v>2.1946937182988684</v>
      </c>
      <c r="AQ22" s="36">
        <f>Table13[[#This Row],[Total Selling Price / Unit (MVR)]]-(Table13[[#This Row],[GST 8%
(MVR)]]+Table13[[#This Row],[Weighted max
expense (MVR)]])</f>
        <v>56.707766571936332</v>
      </c>
      <c r="AR22" s="37">
        <f>Table13[[#This Row],[Profit / Unit (MVR)]]*Table13[[#This Row],[Qty 
(NOS)]]</f>
        <v>396.95436600355436</v>
      </c>
      <c r="AS22"/>
      <c r="AT22"/>
    </row>
    <row r="23" spans="1:46" x14ac:dyDescent="0.25">
      <c r="A23" t="s">
        <v>99</v>
      </c>
      <c r="B23" s="13" t="s">
        <v>117</v>
      </c>
      <c r="C23" s="4">
        <v>4</v>
      </c>
      <c r="D23" s="7">
        <v>4.66</v>
      </c>
      <c r="E23" s="28">
        <v>18.64</v>
      </c>
      <c r="F23" s="28">
        <f t="shared" si="0"/>
        <v>102.52000000000001</v>
      </c>
      <c r="G23" s="4">
        <f t="shared" si="1"/>
        <v>410.08000000000004</v>
      </c>
      <c r="H23" s="28">
        <v>211.86</v>
      </c>
      <c r="I23" s="28">
        <v>242.44</v>
      </c>
      <c r="J23" s="39">
        <f t="shared" si="2"/>
        <v>56.707766571936304</v>
      </c>
      <c r="K23" s="30">
        <f>(F23/$G$92)*Costs!$B$23</f>
        <v>151.62556676139701</v>
      </c>
      <c r="L23" s="30">
        <f t="shared" si="3"/>
        <v>208.33333333333331</v>
      </c>
      <c r="M23" s="30">
        <f t="shared" si="4"/>
        <v>16.666666666666664</v>
      </c>
      <c r="N23" s="39">
        <v>225</v>
      </c>
      <c r="O23" s="25">
        <f>Table13[[#This Row],[Total Selling Price / Unit (MVR)]]*Table13[[#This Row],[Qty 
(NOS)]]</f>
        <v>900</v>
      </c>
      <c r="P23" s="64">
        <f t="shared" si="18"/>
        <v>1200</v>
      </c>
      <c r="Q23" s="64">
        <v>300</v>
      </c>
      <c r="R23" s="64">
        <f t="shared" si="19"/>
        <v>240</v>
      </c>
      <c r="S23" s="7">
        <v>17.86</v>
      </c>
      <c r="T23" s="28">
        <f t="shared" si="20"/>
        <v>392.91999999999996</v>
      </c>
      <c r="U23" s="28">
        <v>211.86</v>
      </c>
      <c r="V23" s="7">
        <v>9.6300000000000008</v>
      </c>
      <c r="W23" s="7">
        <v>4.66</v>
      </c>
      <c r="X23" s="28">
        <f t="shared" si="5"/>
        <v>820.16000000000008</v>
      </c>
      <c r="Y23" s="28">
        <v>205</v>
      </c>
      <c r="Z23" s="60">
        <f t="shared" si="21"/>
        <v>205.04000000000002</v>
      </c>
      <c r="AA23" s="69">
        <v>102.52000000000001</v>
      </c>
      <c r="AB23" s="28">
        <v>242.44</v>
      </c>
      <c r="AC23" s="28">
        <v>225</v>
      </c>
      <c r="AD23" s="25">
        <f t="shared" si="6"/>
        <v>148.49460000000002</v>
      </c>
      <c r="AE23" s="25">
        <f t="shared" si="7"/>
        <v>160.37416800000003</v>
      </c>
      <c r="AF23" s="25">
        <f t="shared" si="8"/>
        <v>641.4966720000001</v>
      </c>
      <c r="AG23" s="25">
        <f t="shared" si="9"/>
        <v>287.27460000000002</v>
      </c>
      <c r="AH23" s="25">
        <f t="shared" si="10"/>
        <v>310.25656800000002</v>
      </c>
      <c r="AI23" s="25">
        <f t="shared" si="11"/>
        <v>1241.0262720000001</v>
      </c>
      <c r="AJ23" s="25">
        <f t="shared" si="12"/>
        <v>211.86</v>
      </c>
      <c r="AK23" s="25">
        <f t="shared" si="13"/>
        <v>228.80880000000002</v>
      </c>
      <c r="AL23" s="25">
        <f t="shared" si="14"/>
        <v>915.23520000000008</v>
      </c>
      <c r="AM23" s="25">
        <f t="shared" si="15"/>
        <v>409.86000000000007</v>
      </c>
      <c r="AN23" s="25">
        <f t="shared" si="16"/>
        <v>442.64880000000011</v>
      </c>
      <c r="AO23" s="25">
        <f t="shared" si="17"/>
        <v>1770.5952000000004</v>
      </c>
      <c r="AP23" s="22">
        <f>Table13[[#This Row],[Total Selling Price / Unit (MVR)]]/Table13[[#This Row],[CNF / Unit
(MVR)]]</f>
        <v>2.1946937182988684</v>
      </c>
      <c r="AQ23" s="34">
        <f>Table13[[#This Row],[Total Selling Price / Unit (MVR)]]-(Table13[[#This Row],[GST 8%
(MVR)]]+Table13[[#This Row],[Weighted max
expense (MVR)]])</f>
        <v>56.707766571936332</v>
      </c>
      <c r="AR23" s="35">
        <f>Table13[[#This Row],[Profit / Unit (MVR)]]*Table13[[#This Row],[Qty 
(NOS)]]</f>
        <v>226.83106628774533</v>
      </c>
      <c r="AS23"/>
      <c r="AT23"/>
    </row>
    <row r="24" spans="1:46" x14ac:dyDescent="0.25">
      <c r="A24" t="s">
        <v>69</v>
      </c>
      <c r="B24" s="13" t="s">
        <v>117</v>
      </c>
      <c r="C24" s="4">
        <v>4</v>
      </c>
      <c r="D24" s="7">
        <v>4.66</v>
      </c>
      <c r="E24" s="28">
        <v>18.64</v>
      </c>
      <c r="F24" s="28">
        <f t="shared" si="0"/>
        <v>102.52000000000001</v>
      </c>
      <c r="G24" s="4">
        <f t="shared" si="1"/>
        <v>410.08000000000004</v>
      </c>
      <c r="H24" s="28">
        <v>211.86</v>
      </c>
      <c r="I24" s="28">
        <v>242.44</v>
      </c>
      <c r="J24" s="40">
        <f t="shared" si="2"/>
        <v>56.707766571936304</v>
      </c>
      <c r="K24" s="31">
        <f>(F24/$G$92)*Costs!$B$23</f>
        <v>151.62556676139701</v>
      </c>
      <c r="L24" s="31">
        <f t="shared" si="3"/>
        <v>208.33333333333331</v>
      </c>
      <c r="M24" s="31">
        <f t="shared" si="4"/>
        <v>16.666666666666664</v>
      </c>
      <c r="N24" s="40">
        <v>225</v>
      </c>
      <c r="O24" s="25">
        <f>Table13[[#This Row],[Total Selling Price / Unit (MVR)]]*Table13[[#This Row],[Qty 
(NOS)]]</f>
        <v>900</v>
      </c>
      <c r="P24" s="64">
        <f t="shared" si="18"/>
        <v>1200</v>
      </c>
      <c r="Q24" s="64">
        <v>300</v>
      </c>
      <c r="R24" s="64">
        <f t="shared" si="19"/>
        <v>240</v>
      </c>
      <c r="S24" s="7">
        <v>17.86</v>
      </c>
      <c r="T24" s="28">
        <f t="shared" si="20"/>
        <v>392.91999999999996</v>
      </c>
      <c r="U24" s="28">
        <v>211.86</v>
      </c>
      <c r="V24" s="7">
        <v>9.6300000000000008</v>
      </c>
      <c r="W24" s="7">
        <v>4.66</v>
      </c>
      <c r="X24" s="28">
        <f t="shared" si="5"/>
        <v>820.16000000000008</v>
      </c>
      <c r="Y24" s="28">
        <v>205</v>
      </c>
      <c r="Z24" s="60">
        <f t="shared" si="21"/>
        <v>205.04000000000002</v>
      </c>
      <c r="AA24" s="70">
        <v>102.52000000000001</v>
      </c>
      <c r="AB24" s="28">
        <v>242.44</v>
      </c>
      <c r="AC24" s="28">
        <v>225</v>
      </c>
      <c r="AD24" s="25">
        <f t="shared" si="6"/>
        <v>148.49460000000002</v>
      </c>
      <c r="AE24" s="25">
        <f t="shared" si="7"/>
        <v>160.37416800000003</v>
      </c>
      <c r="AF24" s="25">
        <f t="shared" si="8"/>
        <v>641.4966720000001</v>
      </c>
      <c r="AG24" s="25">
        <f t="shared" si="9"/>
        <v>287.27460000000002</v>
      </c>
      <c r="AH24" s="25">
        <f t="shared" si="10"/>
        <v>310.25656800000002</v>
      </c>
      <c r="AI24" s="25">
        <f t="shared" si="11"/>
        <v>1241.0262720000001</v>
      </c>
      <c r="AJ24" s="25">
        <f t="shared" si="12"/>
        <v>211.86</v>
      </c>
      <c r="AK24" s="25">
        <f t="shared" si="13"/>
        <v>228.80880000000002</v>
      </c>
      <c r="AL24" s="25">
        <f t="shared" si="14"/>
        <v>915.23520000000008</v>
      </c>
      <c r="AM24" s="25">
        <f t="shared" si="15"/>
        <v>409.86000000000007</v>
      </c>
      <c r="AN24" s="25">
        <f t="shared" si="16"/>
        <v>442.64880000000011</v>
      </c>
      <c r="AO24" s="25">
        <f t="shared" si="17"/>
        <v>1770.5952000000004</v>
      </c>
      <c r="AP24" s="22">
        <f>Table13[[#This Row],[Total Selling Price / Unit (MVR)]]/Table13[[#This Row],[CNF / Unit
(MVR)]]</f>
        <v>2.1946937182988684</v>
      </c>
      <c r="AQ24" s="36">
        <f>Table13[[#This Row],[Total Selling Price / Unit (MVR)]]-(Table13[[#This Row],[GST 8%
(MVR)]]+Table13[[#This Row],[Weighted max
expense (MVR)]])</f>
        <v>56.707766571936332</v>
      </c>
      <c r="AR24" s="37">
        <f>Table13[[#This Row],[Profit / Unit (MVR)]]*Table13[[#This Row],[Qty 
(NOS)]]</f>
        <v>226.83106628774533</v>
      </c>
      <c r="AS24"/>
      <c r="AT24"/>
    </row>
    <row r="25" spans="1:46" x14ac:dyDescent="0.25">
      <c r="A25" t="s">
        <v>112</v>
      </c>
      <c r="B25" s="13" t="s">
        <v>117</v>
      </c>
      <c r="C25" s="4">
        <v>3</v>
      </c>
      <c r="D25" s="7">
        <v>4.82</v>
      </c>
      <c r="E25" s="28">
        <v>14.46</v>
      </c>
      <c r="F25" s="28">
        <f t="shared" si="0"/>
        <v>106.04</v>
      </c>
      <c r="G25" s="4">
        <f t="shared" si="1"/>
        <v>318.12</v>
      </c>
      <c r="H25" s="28">
        <v>407.66</v>
      </c>
      <c r="I25" s="28">
        <v>272.8</v>
      </c>
      <c r="J25" s="39">
        <f t="shared" si="2"/>
        <v>167.24247926936727</v>
      </c>
      <c r="K25" s="30">
        <f>(F25/$G$92)*Costs!$B$23</f>
        <v>156.83159480470681</v>
      </c>
      <c r="L25" s="30">
        <f t="shared" si="3"/>
        <v>324.07407407407408</v>
      </c>
      <c r="M25" s="30">
        <f t="shared" si="4"/>
        <v>25.925925925925927</v>
      </c>
      <c r="N25" s="39">
        <v>350</v>
      </c>
      <c r="O25" s="25">
        <f>Table13[[#This Row],[Total Selling Price / Unit (MVR)]]*Table13[[#This Row],[Qty 
(NOS)]]</f>
        <v>1050</v>
      </c>
      <c r="P25" s="64">
        <f t="shared" si="18"/>
        <v>1050</v>
      </c>
      <c r="Q25" s="64">
        <v>350</v>
      </c>
      <c r="R25" s="64">
        <f t="shared" si="19"/>
        <v>280</v>
      </c>
      <c r="S25" s="7">
        <v>17.86</v>
      </c>
      <c r="T25" s="28">
        <f t="shared" si="20"/>
        <v>392.91999999999996</v>
      </c>
      <c r="U25" s="28">
        <v>407.66</v>
      </c>
      <c r="V25" s="7">
        <v>18.53</v>
      </c>
      <c r="W25" s="7">
        <v>4.82</v>
      </c>
      <c r="X25" s="28">
        <f t="shared" si="5"/>
        <v>636.24</v>
      </c>
      <c r="Y25" s="28">
        <v>215</v>
      </c>
      <c r="Z25" s="60">
        <f t="shared" si="21"/>
        <v>212.08</v>
      </c>
      <c r="AA25" s="69">
        <v>106.04</v>
      </c>
      <c r="AB25" s="28">
        <v>272.8</v>
      </c>
      <c r="AC25" s="28">
        <v>350</v>
      </c>
      <c r="AD25" s="25">
        <f t="shared" si="6"/>
        <v>285.73259999999999</v>
      </c>
      <c r="AE25" s="25">
        <f t="shared" si="7"/>
        <v>308.59120799999999</v>
      </c>
      <c r="AF25" s="25">
        <f t="shared" si="8"/>
        <v>925.77362399999993</v>
      </c>
      <c r="AG25" s="25">
        <f t="shared" si="9"/>
        <v>424.51260000000002</v>
      </c>
      <c r="AH25" s="25">
        <f t="shared" si="10"/>
        <v>458.47360800000007</v>
      </c>
      <c r="AI25" s="25">
        <f t="shared" si="11"/>
        <v>1375.4208240000003</v>
      </c>
      <c r="AJ25" s="25">
        <f t="shared" si="12"/>
        <v>407.66</v>
      </c>
      <c r="AK25" s="25">
        <f t="shared" si="13"/>
        <v>440.27280000000007</v>
      </c>
      <c r="AL25" s="25">
        <f t="shared" si="14"/>
        <v>1320.8184000000001</v>
      </c>
      <c r="AM25" s="25">
        <f t="shared" si="15"/>
        <v>605.66000000000008</v>
      </c>
      <c r="AN25" s="25">
        <f t="shared" si="16"/>
        <v>654.11280000000011</v>
      </c>
      <c r="AO25" s="25">
        <f t="shared" si="17"/>
        <v>1962.3384000000003</v>
      </c>
      <c r="AP25" s="22">
        <f>Table13[[#This Row],[Total Selling Price / Unit (MVR)]]/Table13[[#This Row],[CNF / Unit
(MVR)]]</f>
        <v>3.3006412674462466</v>
      </c>
      <c r="AQ25" s="34">
        <f>Table13[[#This Row],[Total Selling Price / Unit (MVR)]]-(Table13[[#This Row],[GST 8%
(MVR)]]+Table13[[#This Row],[Weighted max
expense (MVR)]])</f>
        <v>167.24247926936727</v>
      </c>
      <c r="AR25" s="35">
        <f>Table13[[#This Row],[Profit / Unit (MVR)]]*Table13[[#This Row],[Qty 
(NOS)]]</f>
        <v>501.7274378081018</v>
      </c>
      <c r="AS25"/>
      <c r="AT25"/>
    </row>
    <row r="26" spans="1:46" x14ac:dyDescent="0.25">
      <c r="A26" t="s">
        <v>101</v>
      </c>
      <c r="B26" s="13" t="s">
        <v>117</v>
      </c>
      <c r="C26" s="4">
        <v>4</v>
      </c>
      <c r="D26" s="7">
        <v>11</v>
      </c>
      <c r="E26" s="28">
        <v>44</v>
      </c>
      <c r="F26" s="28">
        <f t="shared" si="0"/>
        <v>242</v>
      </c>
      <c r="G26" s="4">
        <f t="shared" si="1"/>
        <v>968</v>
      </c>
      <c r="H26" s="28">
        <v>1613.92</v>
      </c>
      <c r="I26" s="28">
        <v>436.48</v>
      </c>
      <c r="J26" s="40">
        <f t="shared" si="2"/>
        <v>86.530016466897791</v>
      </c>
      <c r="K26" s="31">
        <f>(F26/$G$92)*Costs!$B$23</f>
        <v>357.91442797754661</v>
      </c>
      <c r="L26" s="31">
        <f t="shared" si="3"/>
        <v>444.4444444444444</v>
      </c>
      <c r="M26" s="31">
        <f t="shared" si="4"/>
        <v>35.55555555555555</v>
      </c>
      <c r="N26" s="40">
        <v>480</v>
      </c>
      <c r="O26" s="25">
        <f>Table13[[#This Row],[Total Selling Price / Unit (MVR)]]*Table13[[#This Row],[Qty 
(NOS)]]</f>
        <v>1920</v>
      </c>
      <c r="P26" s="64">
        <f t="shared" si="18"/>
        <v>2400</v>
      </c>
      <c r="Q26" s="64">
        <v>600</v>
      </c>
      <c r="R26" s="64">
        <f t="shared" si="19"/>
        <v>480</v>
      </c>
      <c r="S26" s="7">
        <v>70.709999999999994</v>
      </c>
      <c r="T26" s="28">
        <f t="shared" si="20"/>
        <v>1555.62</v>
      </c>
      <c r="U26" s="28">
        <v>1613.92</v>
      </c>
      <c r="V26" s="7">
        <v>73.36</v>
      </c>
      <c r="W26" s="7">
        <v>11</v>
      </c>
      <c r="X26" s="28">
        <f t="shared" si="5"/>
        <v>1936</v>
      </c>
      <c r="Y26" s="28">
        <v>485</v>
      </c>
      <c r="Z26" s="60">
        <f t="shared" si="21"/>
        <v>484</v>
      </c>
      <c r="AA26" s="70">
        <v>242</v>
      </c>
      <c r="AB26" s="28">
        <v>436.48</v>
      </c>
      <c r="AC26" s="28">
        <v>480</v>
      </c>
      <c r="AD26" s="25">
        <f t="shared" si="6"/>
        <v>1131.2112</v>
      </c>
      <c r="AE26" s="25">
        <f t="shared" si="7"/>
        <v>1221.7080960000001</v>
      </c>
      <c r="AF26" s="25">
        <f t="shared" si="8"/>
        <v>4886.8323840000003</v>
      </c>
      <c r="AG26" s="25">
        <f t="shared" si="9"/>
        <v>1269.9911999999999</v>
      </c>
      <c r="AH26" s="25">
        <f t="shared" si="10"/>
        <v>1371.590496</v>
      </c>
      <c r="AI26" s="25">
        <f t="shared" si="11"/>
        <v>5486.3619840000001</v>
      </c>
      <c r="AJ26" s="25">
        <f t="shared" si="12"/>
        <v>1613.92</v>
      </c>
      <c r="AK26" s="25">
        <f t="shared" si="13"/>
        <v>1743.0336000000002</v>
      </c>
      <c r="AL26" s="25">
        <f t="shared" si="14"/>
        <v>6972.1344000000008</v>
      </c>
      <c r="AM26" s="25">
        <f t="shared" si="15"/>
        <v>1811.92</v>
      </c>
      <c r="AN26" s="25">
        <f t="shared" si="16"/>
        <v>1956.8736000000001</v>
      </c>
      <c r="AO26" s="25">
        <f t="shared" si="17"/>
        <v>7827.4944000000005</v>
      </c>
      <c r="AP26" s="22">
        <f>Table13[[#This Row],[Total Selling Price / Unit (MVR)]]/Table13[[#This Row],[CNF / Unit
(MVR)]]</f>
        <v>1.9834710743801653</v>
      </c>
      <c r="AQ26" s="36">
        <f>Table13[[#This Row],[Total Selling Price / Unit (MVR)]]-(Table13[[#This Row],[GST 8%
(MVR)]]+Table13[[#This Row],[Weighted max
expense (MVR)]])</f>
        <v>86.530016466897848</v>
      </c>
      <c r="AR26" s="37">
        <f>Table13[[#This Row],[Profit / Unit (MVR)]]*Table13[[#This Row],[Qty 
(NOS)]]</f>
        <v>346.12006586759139</v>
      </c>
      <c r="AS26"/>
      <c r="AT26"/>
    </row>
    <row r="27" spans="1:46" x14ac:dyDescent="0.25">
      <c r="A27" t="s">
        <v>102</v>
      </c>
      <c r="B27" s="13" t="s">
        <v>117</v>
      </c>
      <c r="C27" s="4">
        <v>4</v>
      </c>
      <c r="D27" s="7">
        <v>11</v>
      </c>
      <c r="E27" s="28">
        <v>44</v>
      </c>
      <c r="F27" s="28">
        <f t="shared" si="0"/>
        <v>242</v>
      </c>
      <c r="G27" s="4">
        <f t="shared" si="1"/>
        <v>968</v>
      </c>
      <c r="H27" s="28">
        <v>1613.92</v>
      </c>
      <c r="I27" s="28">
        <v>436.48</v>
      </c>
      <c r="J27" s="39">
        <f t="shared" si="2"/>
        <v>86.530016466897791</v>
      </c>
      <c r="K27" s="30">
        <f>(F27/$G$92)*Costs!$B$23</f>
        <v>357.91442797754661</v>
      </c>
      <c r="L27" s="30">
        <f t="shared" si="3"/>
        <v>444.4444444444444</v>
      </c>
      <c r="M27" s="30">
        <f t="shared" si="4"/>
        <v>35.55555555555555</v>
      </c>
      <c r="N27" s="39">
        <v>480</v>
      </c>
      <c r="O27" s="25">
        <f>Table13[[#This Row],[Total Selling Price / Unit (MVR)]]*Table13[[#This Row],[Qty 
(NOS)]]</f>
        <v>1920</v>
      </c>
      <c r="P27" s="64">
        <f t="shared" si="18"/>
        <v>2400</v>
      </c>
      <c r="Q27" s="64">
        <v>600</v>
      </c>
      <c r="R27" s="64">
        <f t="shared" si="19"/>
        <v>480</v>
      </c>
      <c r="S27" s="7">
        <v>70.709999999999994</v>
      </c>
      <c r="T27" s="28">
        <f t="shared" si="20"/>
        <v>1555.62</v>
      </c>
      <c r="U27" s="28">
        <v>1613.92</v>
      </c>
      <c r="V27" s="7">
        <v>73.36</v>
      </c>
      <c r="W27" s="7">
        <v>11</v>
      </c>
      <c r="X27" s="28">
        <f t="shared" si="5"/>
        <v>1936</v>
      </c>
      <c r="Y27" s="28">
        <v>485</v>
      </c>
      <c r="Z27" s="60">
        <f t="shared" si="21"/>
        <v>484</v>
      </c>
      <c r="AA27" s="69">
        <v>242</v>
      </c>
      <c r="AB27" s="28">
        <v>436.48</v>
      </c>
      <c r="AC27" s="28">
        <v>480</v>
      </c>
      <c r="AD27" s="25">
        <f t="shared" si="6"/>
        <v>1131.2112</v>
      </c>
      <c r="AE27" s="25">
        <f t="shared" si="7"/>
        <v>1221.7080960000001</v>
      </c>
      <c r="AF27" s="25">
        <f t="shared" si="8"/>
        <v>4886.8323840000003</v>
      </c>
      <c r="AG27" s="25">
        <f t="shared" si="9"/>
        <v>1269.9911999999999</v>
      </c>
      <c r="AH27" s="25">
        <f t="shared" si="10"/>
        <v>1371.590496</v>
      </c>
      <c r="AI27" s="25">
        <f t="shared" si="11"/>
        <v>5486.3619840000001</v>
      </c>
      <c r="AJ27" s="25">
        <f t="shared" si="12"/>
        <v>1613.92</v>
      </c>
      <c r="AK27" s="25">
        <f t="shared" si="13"/>
        <v>1743.0336000000002</v>
      </c>
      <c r="AL27" s="25">
        <f t="shared" si="14"/>
        <v>6972.1344000000008</v>
      </c>
      <c r="AM27" s="25">
        <f t="shared" si="15"/>
        <v>1811.92</v>
      </c>
      <c r="AN27" s="25">
        <f t="shared" si="16"/>
        <v>1956.8736000000001</v>
      </c>
      <c r="AO27" s="25">
        <f t="shared" si="17"/>
        <v>7827.4944000000005</v>
      </c>
      <c r="AP27" s="22">
        <f>Table13[[#This Row],[Total Selling Price / Unit (MVR)]]/Table13[[#This Row],[CNF / Unit
(MVR)]]</f>
        <v>1.9834710743801653</v>
      </c>
      <c r="AQ27" s="34">
        <f>Table13[[#This Row],[Total Selling Price / Unit (MVR)]]-(Table13[[#This Row],[GST 8%
(MVR)]]+Table13[[#This Row],[Weighted max
expense (MVR)]])</f>
        <v>86.530016466897848</v>
      </c>
      <c r="AR27" s="35">
        <f>Table13[[#This Row],[Profit / Unit (MVR)]]*Table13[[#This Row],[Qty 
(NOS)]]</f>
        <v>346.12006586759139</v>
      </c>
      <c r="AS27"/>
      <c r="AT27"/>
    </row>
    <row r="28" spans="1:46" x14ac:dyDescent="0.25">
      <c r="A28" t="s">
        <v>66</v>
      </c>
      <c r="B28" s="13" t="s">
        <v>117</v>
      </c>
      <c r="C28" s="4">
        <v>4</v>
      </c>
      <c r="D28" s="7">
        <v>8.2100000000000009</v>
      </c>
      <c r="E28" s="28">
        <v>32.840000000000003</v>
      </c>
      <c r="F28" s="28">
        <f t="shared" si="0"/>
        <v>180.62</v>
      </c>
      <c r="G28" s="4">
        <f t="shared" si="1"/>
        <v>722.48</v>
      </c>
      <c r="H28" s="28">
        <v>1271.5999999999999</v>
      </c>
      <c r="I28" s="28">
        <v>367.4</v>
      </c>
      <c r="J28" s="40">
        <f t="shared" si="2"/>
        <v>195.82864899063043</v>
      </c>
      <c r="K28" s="31">
        <f>(F28/$G$92)*Costs!$B$23</f>
        <v>267.13431397233251</v>
      </c>
      <c r="L28" s="31">
        <f t="shared" si="3"/>
        <v>462.96296296296293</v>
      </c>
      <c r="M28" s="31">
        <f t="shared" si="4"/>
        <v>37.037037037037038</v>
      </c>
      <c r="N28" s="40">
        <v>500</v>
      </c>
      <c r="O28" s="25">
        <f>Table13[[#This Row],[Total Selling Price / Unit (MVR)]]*Table13[[#This Row],[Qty 
(NOS)]]</f>
        <v>2000</v>
      </c>
      <c r="P28" s="64">
        <f t="shared" si="18"/>
        <v>2400</v>
      </c>
      <c r="Q28" s="64">
        <v>600</v>
      </c>
      <c r="R28" s="64">
        <f t="shared" si="19"/>
        <v>480</v>
      </c>
      <c r="S28" s="7">
        <v>55.71</v>
      </c>
      <c r="T28" s="28">
        <f t="shared" si="20"/>
        <v>1225.6200000000001</v>
      </c>
      <c r="U28" s="28">
        <v>1271.5999999999999</v>
      </c>
      <c r="V28" s="7">
        <v>57.8</v>
      </c>
      <c r="W28" s="7">
        <v>8.2100000000000009</v>
      </c>
      <c r="X28" s="28">
        <f t="shared" si="5"/>
        <v>1444.96</v>
      </c>
      <c r="Y28" s="28">
        <v>365</v>
      </c>
      <c r="Z28" s="60">
        <f t="shared" si="21"/>
        <v>361.24</v>
      </c>
      <c r="AA28" s="70">
        <v>180.62</v>
      </c>
      <c r="AB28" s="28">
        <v>367.4</v>
      </c>
      <c r="AC28" s="28">
        <v>500</v>
      </c>
      <c r="AD28" s="25">
        <f t="shared" si="6"/>
        <v>891.27599999999995</v>
      </c>
      <c r="AE28" s="25">
        <f t="shared" si="7"/>
        <v>962.57808</v>
      </c>
      <c r="AF28" s="25">
        <f t="shared" si="8"/>
        <v>3850.31232</v>
      </c>
      <c r="AG28" s="25">
        <f t="shared" si="9"/>
        <v>1030.056</v>
      </c>
      <c r="AH28" s="25">
        <f t="shared" si="10"/>
        <v>1112.4604800000002</v>
      </c>
      <c r="AI28" s="25">
        <f t="shared" si="11"/>
        <v>4449.8419200000008</v>
      </c>
      <c r="AJ28" s="25">
        <f t="shared" si="12"/>
        <v>1271.5999999999999</v>
      </c>
      <c r="AK28" s="25">
        <f t="shared" si="13"/>
        <v>1373.328</v>
      </c>
      <c r="AL28" s="25">
        <f t="shared" si="14"/>
        <v>5493.3119999999999</v>
      </c>
      <c r="AM28" s="25">
        <f t="shared" si="15"/>
        <v>1469.6</v>
      </c>
      <c r="AN28" s="25">
        <f t="shared" si="16"/>
        <v>1587.1679999999999</v>
      </c>
      <c r="AO28" s="25">
        <f t="shared" si="17"/>
        <v>6348.6719999999996</v>
      </c>
      <c r="AP28" s="22">
        <f>Table13[[#This Row],[Total Selling Price / Unit (MVR)]]/Table13[[#This Row],[CNF / Unit
(MVR)]]</f>
        <v>2.7682427195216475</v>
      </c>
      <c r="AQ28" s="36">
        <f>Table13[[#This Row],[Total Selling Price / Unit (MVR)]]-(Table13[[#This Row],[GST 8%
(MVR)]]+Table13[[#This Row],[Weighted max
expense (MVR)]])</f>
        <v>195.82864899063043</v>
      </c>
      <c r="AR28" s="37">
        <f>Table13[[#This Row],[Profit / Unit (MVR)]]*Table13[[#This Row],[Qty 
(NOS)]]</f>
        <v>783.31459596252171</v>
      </c>
      <c r="AS28"/>
      <c r="AT28"/>
    </row>
    <row r="29" spans="1:46" x14ac:dyDescent="0.25">
      <c r="A29" t="s">
        <v>100</v>
      </c>
      <c r="B29" s="13" t="s">
        <v>117</v>
      </c>
      <c r="C29" s="4">
        <v>4</v>
      </c>
      <c r="D29" s="7">
        <v>4.82</v>
      </c>
      <c r="E29" s="28">
        <v>19.28</v>
      </c>
      <c r="F29" s="28">
        <f t="shared" si="0"/>
        <v>106.04</v>
      </c>
      <c r="G29" s="4">
        <f t="shared" si="1"/>
        <v>424.16</v>
      </c>
      <c r="H29" s="28">
        <v>407.66</v>
      </c>
      <c r="I29" s="28">
        <v>272.8</v>
      </c>
      <c r="J29" s="39">
        <f t="shared" si="2"/>
        <v>157.98322001010797</v>
      </c>
      <c r="K29" s="30">
        <f>(F29/$G$92)*Costs!$B$23</f>
        <v>156.83159480470681</v>
      </c>
      <c r="L29" s="30">
        <f t="shared" si="3"/>
        <v>314.81481481481478</v>
      </c>
      <c r="M29" s="30">
        <f t="shared" si="4"/>
        <v>25.185185185185183</v>
      </c>
      <c r="N29" s="39">
        <v>340</v>
      </c>
      <c r="O29" s="25">
        <f>Table13[[#This Row],[Total Selling Price / Unit (MVR)]]*Table13[[#This Row],[Qty 
(NOS)]]</f>
        <v>1360</v>
      </c>
      <c r="P29" s="64">
        <f t="shared" si="18"/>
        <v>1360</v>
      </c>
      <c r="Q29" s="64">
        <v>340</v>
      </c>
      <c r="R29" s="64">
        <f t="shared" si="19"/>
        <v>272</v>
      </c>
      <c r="S29" s="7">
        <v>17.86</v>
      </c>
      <c r="T29" s="28">
        <f t="shared" si="20"/>
        <v>392.91999999999996</v>
      </c>
      <c r="U29" s="28">
        <v>407.66</v>
      </c>
      <c r="V29" s="7">
        <v>18.53</v>
      </c>
      <c r="W29" s="7">
        <v>4.82</v>
      </c>
      <c r="X29" s="28">
        <f t="shared" si="5"/>
        <v>848.32</v>
      </c>
      <c r="Y29" s="28">
        <v>215</v>
      </c>
      <c r="Z29" s="60">
        <f t="shared" si="21"/>
        <v>212.08</v>
      </c>
      <c r="AA29" s="69">
        <v>106.04</v>
      </c>
      <c r="AB29" s="28">
        <v>272.8</v>
      </c>
      <c r="AC29" s="28">
        <v>340</v>
      </c>
      <c r="AD29" s="25">
        <f t="shared" si="6"/>
        <v>285.73259999999999</v>
      </c>
      <c r="AE29" s="25">
        <f t="shared" si="7"/>
        <v>308.59120799999999</v>
      </c>
      <c r="AF29" s="25">
        <f t="shared" si="8"/>
        <v>1234.364832</v>
      </c>
      <c r="AG29" s="25">
        <f t="shared" si="9"/>
        <v>424.51260000000002</v>
      </c>
      <c r="AH29" s="25">
        <f t="shared" si="10"/>
        <v>458.47360800000007</v>
      </c>
      <c r="AI29" s="25">
        <f t="shared" si="11"/>
        <v>1833.8944320000003</v>
      </c>
      <c r="AJ29" s="25">
        <f t="shared" si="12"/>
        <v>407.66</v>
      </c>
      <c r="AK29" s="25">
        <f t="shared" si="13"/>
        <v>440.27280000000007</v>
      </c>
      <c r="AL29" s="25">
        <f t="shared" si="14"/>
        <v>1761.0912000000003</v>
      </c>
      <c r="AM29" s="25">
        <f t="shared" si="15"/>
        <v>605.66000000000008</v>
      </c>
      <c r="AN29" s="25">
        <f t="shared" si="16"/>
        <v>654.11280000000011</v>
      </c>
      <c r="AO29" s="25">
        <f t="shared" si="17"/>
        <v>2616.4512000000004</v>
      </c>
      <c r="AP29" s="22">
        <f>Table13[[#This Row],[Total Selling Price / Unit (MVR)]]/Table13[[#This Row],[CNF / Unit
(MVR)]]</f>
        <v>3.2063372312334968</v>
      </c>
      <c r="AQ29" s="34">
        <f>Table13[[#This Row],[Total Selling Price / Unit (MVR)]]-(Table13[[#This Row],[GST 8%
(MVR)]]+Table13[[#This Row],[Weighted max
expense (MVR)]])</f>
        <v>157.983220010108</v>
      </c>
      <c r="AR29" s="35">
        <f>Table13[[#This Row],[Profit / Unit (MVR)]]*Table13[[#This Row],[Qty 
(NOS)]]</f>
        <v>631.932880040432</v>
      </c>
      <c r="AS29"/>
      <c r="AT29"/>
    </row>
    <row r="30" spans="1:46" x14ac:dyDescent="0.25">
      <c r="A30" t="s">
        <v>70</v>
      </c>
      <c r="B30" s="13" t="s">
        <v>117</v>
      </c>
      <c r="C30" s="4">
        <v>4</v>
      </c>
      <c r="D30" s="7">
        <v>5.84</v>
      </c>
      <c r="E30" s="28">
        <v>23.36</v>
      </c>
      <c r="F30" s="28">
        <f t="shared" si="0"/>
        <v>128.47999999999999</v>
      </c>
      <c r="G30" s="4">
        <f t="shared" si="1"/>
        <v>513.91999999999996</v>
      </c>
      <c r="H30" s="28" t="s">
        <v>114</v>
      </c>
      <c r="I30" s="28">
        <v>240.67999999999998</v>
      </c>
      <c r="J30" s="40">
        <f t="shared" si="2"/>
        <v>32.202198641415663</v>
      </c>
      <c r="K30" s="31">
        <f>(F30/$G$92)*Costs!$B$23</f>
        <v>190.02002358080654</v>
      </c>
      <c r="L30" s="31">
        <f t="shared" si="3"/>
        <v>222.2222222222222</v>
      </c>
      <c r="M30" s="31">
        <f t="shared" si="4"/>
        <v>17.777777777777775</v>
      </c>
      <c r="N30" s="40">
        <v>240</v>
      </c>
      <c r="O30" s="25">
        <f>Table13[[#This Row],[Total Selling Price / Unit (MVR)]]*Table13[[#This Row],[Qty 
(NOS)]]</f>
        <v>960</v>
      </c>
      <c r="P30" s="64">
        <f t="shared" si="18"/>
        <v>1200</v>
      </c>
      <c r="Q30" s="64">
        <v>300</v>
      </c>
      <c r="R30" s="64">
        <f t="shared" si="19"/>
        <v>240</v>
      </c>
      <c r="S30" s="7">
        <v>55.71</v>
      </c>
      <c r="T30" s="28">
        <f t="shared" si="20"/>
        <v>1225.6200000000001</v>
      </c>
      <c r="U30" s="28" t="s">
        <v>114</v>
      </c>
      <c r="V30" s="61">
        <v>57.8</v>
      </c>
      <c r="W30" s="7">
        <v>5.84</v>
      </c>
      <c r="X30" s="28">
        <f t="shared" si="5"/>
        <v>1027.8399999999999</v>
      </c>
      <c r="Y30" s="28">
        <v>260</v>
      </c>
      <c r="Z30" s="60">
        <f t="shared" si="21"/>
        <v>256.95999999999998</v>
      </c>
      <c r="AA30" s="70">
        <v>128.47999999999999</v>
      </c>
      <c r="AB30" s="28">
        <v>240.67999999999998</v>
      </c>
      <c r="AC30" s="28">
        <v>240</v>
      </c>
      <c r="AD30" s="25">
        <f t="shared" si="6"/>
        <v>891.27599999999995</v>
      </c>
      <c r="AE30" s="25">
        <f t="shared" si="7"/>
        <v>962.57808</v>
      </c>
      <c r="AF30" s="25">
        <f t="shared" si="8"/>
        <v>3850.31232</v>
      </c>
      <c r="AG30" s="25">
        <f t="shared" si="9"/>
        <v>1030.056</v>
      </c>
      <c r="AH30" s="25">
        <f t="shared" si="10"/>
        <v>1112.4604800000002</v>
      </c>
      <c r="AI30" s="25">
        <f t="shared" si="11"/>
        <v>4449.8419200000008</v>
      </c>
      <c r="AJ30" s="25">
        <f t="shared" si="12"/>
        <v>1271.5999999999999</v>
      </c>
      <c r="AK30" s="25">
        <f t="shared" si="13"/>
        <v>1373.328</v>
      </c>
      <c r="AL30" s="25">
        <f t="shared" si="14"/>
        <v>5493.3119999999999</v>
      </c>
      <c r="AM30" s="25">
        <f t="shared" si="15"/>
        <v>1469.6</v>
      </c>
      <c r="AN30" s="25">
        <f t="shared" si="16"/>
        <v>1587.1679999999999</v>
      </c>
      <c r="AO30" s="25">
        <f t="shared" si="17"/>
        <v>6348.6719999999996</v>
      </c>
      <c r="AP30" s="22">
        <f>Table13[[#This Row],[Total Selling Price / Unit (MVR)]]/Table13[[#This Row],[CNF / Unit
(MVR)]]</f>
        <v>1.8679950186799503</v>
      </c>
      <c r="AQ30" s="36">
        <f>Table13[[#This Row],[Total Selling Price / Unit (MVR)]]-(Table13[[#This Row],[GST 8%
(MVR)]]+Table13[[#This Row],[Weighted max
expense (MVR)]])</f>
        <v>32.202198641415691</v>
      </c>
      <c r="AR30" s="37">
        <f>Table13[[#This Row],[Profit / Unit (MVR)]]*Table13[[#This Row],[Qty 
(NOS)]]</f>
        <v>128.80879456566277</v>
      </c>
      <c r="AS30"/>
      <c r="AT30"/>
    </row>
    <row r="31" spans="1:46" x14ac:dyDescent="0.25">
      <c r="A31" t="s">
        <v>70</v>
      </c>
      <c r="B31" s="13" t="s">
        <v>117</v>
      </c>
      <c r="C31" s="4">
        <v>4</v>
      </c>
      <c r="D31" s="7">
        <v>5.84</v>
      </c>
      <c r="E31" s="28">
        <v>23.36</v>
      </c>
      <c r="F31" s="28">
        <f t="shared" si="0"/>
        <v>128.47999999999999</v>
      </c>
      <c r="G31" s="4">
        <f t="shared" si="1"/>
        <v>513.91999999999996</v>
      </c>
      <c r="H31" s="28" t="s">
        <v>114</v>
      </c>
      <c r="I31" s="28">
        <v>240.67999999999998</v>
      </c>
      <c r="J31" s="39">
        <f t="shared" si="2"/>
        <v>32.202198641415663</v>
      </c>
      <c r="K31" s="30">
        <f>(F31/$G$92)*Costs!$B$23</f>
        <v>190.02002358080654</v>
      </c>
      <c r="L31" s="30">
        <f t="shared" si="3"/>
        <v>222.2222222222222</v>
      </c>
      <c r="M31" s="30">
        <f t="shared" si="4"/>
        <v>17.777777777777775</v>
      </c>
      <c r="N31" s="39">
        <v>240</v>
      </c>
      <c r="O31" s="27">
        <f>Table13[[#This Row],[Total Selling Price / Unit (MVR)]]*Table13[[#This Row],[Qty 
(NOS)]]</f>
        <v>960</v>
      </c>
      <c r="P31" s="64">
        <f t="shared" si="18"/>
        <v>1200</v>
      </c>
      <c r="Q31" s="65">
        <v>300</v>
      </c>
      <c r="R31" s="64">
        <f t="shared" si="19"/>
        <v>240</v>
      </c>
      <c r="S31" s="7">
        <v>55.71</v>
      </c>
      <c r="T31" s="28">
        <f t="shared" si="20"/>
        <v>1225.6200000000001</v>
      </c>
      <c r="U31" s="28" t="s">
        <v>114</v>
      </c>
      <c r="V31" s="61">
        <v>57.8</v>
      </c>
      <c r="W31" s="7">
        <v>5.84</v>
      </c>
      <c r="X31" s="28">
        <f t="shared" si="5"/>
        <v>1027.8399999999999</v>
      </c>
      <c r="Y31" s="28">
        <v>260</v>
      </c>
      <c r="Z31" s="60">
        <f t="shared" si="21"/>
        <v>256.95999999999998</v>
      </c>
      <c r="AA31" s="69">
        <v>128.47999999999999</v>
      </c>
      <c r="AB31" s="28">
        <v>240.67999999999998</v>
      </c>
      <c r="AC31" s="28">
        <v>240</v>
      </c>
      <c r="AD31" s="27">
        <f t="shared" si="6"/>
        <v>891.27599999999995</v>
      </c>
      <c r="AE31" s="25">
        <f t="shared" si="7"/>
        <v>962.57808</v>
      </c>
      <c r="AF31" s="25">
        <f t="shared" si="8"/>
        <v>3850.31232</v>
      </c>
      <c r="AG31" s="25">
        <f t="shared" si="9"/>
        <v>1030.056</v>
      </c>
      <c r="AH31" s="25">
        <f t="shared" si="10"/>
        <v>1112.4604800000002</v>
      </c>
      <c r="AI31" s="25">
        <f t="shared" si="11"/>
        <v>4449.8419200000008</v>
      </c>
      <c r="AJ31" s="25">
        <f t="shared" si="12"/>
        <v>1271.5999999999999</v>
      </c>
      <c r="AK31" s="25">
        <f t="shared" si="13"/>
        <v>1373.328</v>
      </c>
      <c r="AL31" s="25">
        <f t="shared" si="14"/>
        <v>5493.3119999999999</v>
      </c>
      <c r="AM31" s="25">
        <f t="shared" si="15"/>
        <v>1469.6</v>
      </c>
      <c r="AN31" s="27">
        <f t="shared" si="16"/>
        <v>1587.1679999999999</v>
      </c>
      <c r="AO31" s="27">
        <f t="shared" si="17"/>
        <v>6348.6719999999996</v>
      </c>
      <c r="AP31" s="22">
        <f>Table13[[#This Row],[Total Selling Price / Unit (MVR)]]/Table13[[#This Row],[CNF / Unit
(MVR)]]</f>
        <v>1.8679950186799503</v>
      </c>
      <c r="AQ31" s="34">
        <f>Table13[[#This Row],[Total Selling Price / Unit (MVR)]]-(Table13[[#This Row],[GST 8%
(MVR)]]+Table13[[#This Row],[Weighted max
expense (MVR)]])</f>
        <v>32.202198641415691</v>
      </c>
      <c r="AR31" s="35">
        <f>Table13[[#This Row],[Profit / Unit (MVR)]]*Table13[[#This Row],[Qty 
(NOS)]]</f>
        <v>128.80879456566277</v>
      </c>
      <c r="AS31"/>
      <c r="AT31"/>
    </row>
    <row r="32" spans="1:46" x14ac:dyDescent="0.25">
      <c r="A32" t="s">
        <v>63</v>
      </c>
      <c r="B32" s="21" t="s">
        <v>125</v>
      </c>
      <c r="C32" s="4">
        <v>4</v>
      </c>
      <c r="D32" s="7">
        <v>1.96</v>
      </c>
      <c r="E32" s="28">
        <v>7.84</v>
      </c>
      <c r="F32" s="28">
        <f t="shared" si="0"/>
        <v>43.12</v>
      </c>
      <c r="G32" s="4">
        <f t="shared" si="1"/>
        <v>172.48</v>
      </c>
      <c r="H32" s="28">
        <v>407.66</v>
      </c>
      <c r="I32" s="28">
        <v>134.42000000000002</v>
      </c>
      <c r="J32" s="40">
        <f t="shared" si="2"/>
        <v>241.78171202501088</v>
      </c>
      <c r="K32" s="31">
        <f>(F32/$G$92)*Costs!$B$23</f>
        <v>63.77384353054466</v>
      </c>
      <c r="L32" s="31">
        <f t="shared" si="3"/>
        <v>305.55555555555554</v>
      </c>
      <c r="M32" s="31">
        <f t="shared" si="4"/>
        <v>24.444444444444443</v>
      </c>
      <c r="N32" s="40">
        <v>330</v>
      </c>
      <c r="O32" s="25">
        <f>Table13[[#This Row],[Total Selling Price / Unit (MVR)]]*Table13[[#This Row],[Qty 
(NOS)]]</f>
        <v>1320</v>
      </c>
      <c r="P32" s="64">
        <f t="shared" si="18"/>
        <v>1000</v>
      </c>
      <c r="Q32" s="64">
        <v>250</v>
      </c>
      <c r="R32" s="64">
        <f t="shared" si="19"/>
        <v>200</v>
      </c>
      <c r="S32" s="7">
        <v>17.86</v>
      </c>
      <c r="T32" s="28">
        <f t="shared" si="20"/>
        <v>392.91999999999996</v>
      </c>
      <c r="U32" s="28">
        <v>407.66</v>
      </c>
      <c r="V32" s="7">
        <v>18.53</v>
      </c>
      <c r="W32" s="7">
        <v>1.96</v>
      </c>
      <c r="X32" s="28">
        <f t="shared" si="5"/>
        <v>344.96</v>
      </c>
      <c r="Y32" s="28">
        <v>90</v>
      </c>
      <c r="Z32" s="60">
        <f t="shared" si="21"/>
        <v>86.24</v>
      </c>
      <c r="AA32" s="70">
        <v>43.12</v>
      </c>
      <c r="AB32" s="28">
        <v>134.42000000000002</v>
      </c>
      <c r="AC32" s="28">
        <v>330</v>
      </c>
      <c r="AD32" s="25">
        <f t="shared" si="6"/>
        <v>285.73259999999999</v>
      </c>
      <c r="AE32" s="25">
        <f t="shared" si="7"/>
        <v>308.59120799999999</v>
      </c>
      <c r="AF32" s="25">
        <f t="shared" si="8"/>
        <v>1234.364832</v>
      </c>
      <c r="AG32" s="25">
        <f t="shared" si="9"/>
        <v>424.51260000000002</v>
      </c>
      <c r="AH32" s="25">
        <f t="shared" si="10"/>
        <v>458.47360800000007</v>
      </c>
      <c r="AI32" s="25">
        <f t="shared" si="11"/>
        <v>1833.8944320000003</v>
      </c>
      <c r="AJ32" s="25">
        <f t="shared" si="12"/>
        <v>407.66</v>
      </c>
      <c r="AK32" s="25">
        <f t="shared" si="13"/>
        <v>440.27280000000007</v>
      </c>
      <c r="AL32" s="25">
        <f t="shared" si="14"/>
        <v>1761.0912000000003</v>
      </c>
      <c r="AM32" s="25">
        <f t="shared" si="15"/>
        <v>605.66000000000008</v>
      </c>
      <c r="AN32" s="25">
        <f t="shared" si="16"/>
        <v>654.11280000000011</v>
      </c>
      <c r="AO32" s="25">
        <f t="shared" si="17"/>
        <v>2616.4512000000004</v>
      </c>
      <c r="AP32" s="22">
        <f>Table13[[#This Row],[Total Selling Price / Unit (MVR)]]/Table13[[#This Row],[CNF / Unit
(MVR)]]</f>
        <v>7.6530612244897966</v>
      </c>
      <c r="AQ32" s="36">
        <f>Table13[[#This Row],[Total Selling Price / Unit (MVR)]]-(Table13[[#This Row],[GST 8%
(MVR)]]+Table13[[#This Row],[Weighted max
expense (MVR)]])</f>
        <v>241.7817120250109</v>
      </c>
      <c r="AR32" s="37">
        <f>Table13[[#This Row],[Profit / Unit (MVR)]]*Table13[[#This Row],[Qty 
(NOS)]]</f>
        <v>967.12684810004362</v>
      </c>
      <c r="AS32"/>
      <c r="AT32"/>
    </row>
    <row r="33" spans="1:46" x14ac:dyDescent="0.25">
      <c r="A33" t="s">
        <v>64</v>
      </c>
      <c r="B33" s="21" t="s">
        <v>125</v>
      </c>
      <c r="C33" s="4">
        <v>4</v>
      </c>
      <c r="D33" s="7">
        <v>6.33</v>
      </c>
      <c r="E33" s="28">
        <v>25.32</v>
      </c>
      <c r="F33" s="28">
        <f t="shared" si="0"/>
        <v>139.26</v>
      </c>
      <c r="G33" s="4">
        <f t="shared" si="1"/>
        <v>557.04</v>
      </c>
      <c r="H33" s="28">
        <v>407.66</v>
      </c>
      <c r="I33" s="28">
        <v>298.10000000000002</v>
      </c>
      <c r="J33" s="39">
        <f t="shared" si="2"/>
        <v>71.81429331433506</v>
      </c>
      <c r="K33" s="30">
        <f>(F33/$G$92)*Costs!$B$23</f>
        <v>205.96348446344271</v>
      </c>
      <c r="L33" s="30">
        <f t="shared" si="3"/>
        <v>277.77777777777777</v>
      </c>
      <c r="M33" s="30">
        <f t="shared" si="4"/>
        <v>22.222222222222221</v>
      </c>
      <c r="N33" s="39">
        <v>300</v>
      </c>
      <c r="O33" s="25">
        <f>Table13[[#This Row],[Total Selling Price / Unit (MVR)]]*Table13[[#This Row],[Qty 
(NOS)]]</f>
        <v>1200</v>
      </c>
      <c r="P33" s="64">
        <f t="shared" si="18"/>
        <v>1400</v>
      </c>
      <c r="Q33" s="64">
        <v>350</v>
      </c>
      <c r="R33" s="64">
        <f t="shared" si="19"/>
        <v>280</v>
      </c>
      <c r="S33" s="7">
        <v>17.86</v>
      </c>
      <c r="T33" s="28">
        <f t="shared" si="20"/>
        <v>392.91999999999996</v>
      </c>
      <c r="U33" s="28">
        <v>407.66</v>
      </c>
      <c r="V33" s="7">
        <v>18.53</v>
      </c>
      <c r="W33" s="7">
        <v>6.33</v>
      </c>
      <c r="X33" s="28">
        <f t="shared" si="5"/>
        <v>1114.08</v>
      </c>
      <c r="Y33" s="28">
        <v>280</v>
      </c>
      <c r="Z33" s="60">
        <f t="shared" si="21"/>
        <v>278.52</v>
      </c>
      <c r="AA33" s="69">
        <v>139.26</v>
      </c>
      <c r="AB33" s="28">
        <v>298.10000000000002</v>
      </c>
      <c r="AC33" s="28">
        <v>300</v>
      </c>
      <c r="AD33" s="25">
        <f t="shared" si="6"/>
        <v>285.73259999999999</v>
      </c>
      <c r="AE33" s="25">
        <f t="shared" si="7"/>
        <v>308.59120799999999</v>
      </c>
      <c r="AF33" s="25">
        <f t="shared" si="8"/>
        <v>1234.364832</v>
      </c>
      <c r="AG33" s="25">
        <f t="shared" si="9"/>
        <v>424.51260000000002</v>
      </c>
      <c r="AH33" s="25">
        <f t="shared" si="10"/>
        <v>458.47360800000007</v>
      </c>
      <c r="AI33" s="25">
        <f t="shared" si="11"/>
        <v>1833.8944320000003</v>
      </c>
      <c r="AJ33" s="25">
        <f t="shared" si="12"/>
        <v>407.66</v>
      </c>
      <c r="AK33" s="25">
        <f t="shared" si="13"/>
        <v>440.27280000000007</v>
      </c>
      <c r="AL33" s="25">
        <f t="shared" si="14"/>
        <v>1761.0912000000003</v>
      </c>
      <c r="AM33" s="25">
        <f t="shared" si="15"/>
        <v>605.66000000000008</v>
      </c>
      <c r="AN33" s="25">
        <f t="shared" si="16"/>
        <v>654.11280000000011</v>
      </c>
      <c r="AO33" s="25">
        <f t="shared" si="17"/>
        <v>2616.4512000000004</v>
      </c>
      <c r="AP33" s="22">
        <f>Table13[[#This Row],[Total Selling Price / Unit (MVR)]]/Table13[[#This Row],[CNF / Unit
(MVR)]]</f>
        <v>2.154243860404998</v>
      </c>
      <c r="AQ33" s="34">
        <f>Table13[[#This Row],[Total Selling Price / Unit (MVR)]]-(Table13[[#This Row],[GST 8%
(MVR)]]+Table13[[#This Row],[Weighted max
expense (MVR)]])</f>
        <v>71.81429331433506</v>
      </c>
      <c r="AR33" s="35">
        <f>Table13[[#This Row],[Profit / Unit (MVR)]]*Table13[[#This Row],[Qty 
(NOS)]]</f>
        <v>287.25717325734024</v>
      </c>
      <c r="AS33"/>
      <c r="AT33"/>
    </row>
    <row r="34" spans="1:46" x14ac:dyDescent="0.25">
      <c r="A34" t="s">
        <v>96</v>
      </c>
      <c r="B34" s="21" t="s">
        <v>125</v>
      </c>
      <c r="C34" s="4">
        <v>4</v>
      </c>
      <c r="D34" s="7">
        <v>1.96</v>
      </c>
      <c r="E34" s="28">
        <v>7.84</v>
      </c>
      <c r="F34" s="28">
        <f t="shared" si="0"/>
        <v>43.12</v>
      </c>
      <c r="G34" s="4">
        <f t="shared" si="1"/>
        <v>172.48</v>
      </c>
      <c r="H34" s="28">
        <v>407.66</v>
      </c>
      <c r="I34" s="28">
        <v>300</v>
      </c>
      <c r="J34" s="40">
        <f t="shared" si="2"/>
        <v>241.78171202501088</v>
      </c>
      <c r="K34" s="31">
        <f>(F34/$G$92)*Costs!$B$23</f>
        <v>63.77384353054466</v>
      </c>
      <c r="L34" s="31">
        <f t="shared" si="3"/>
        <v>305.55555555555554</v>
      </c>
      <c r="M34" s="31">
        <f t="shared" si="4"/>
        <v>24.444444444444443</v>
      </c>
      <c r="N34" s="40">
        <v>330</v>
      </c>
      <c r="O34" s="27">
        <f>Table13[[#This Row],[Total Selling Price / Unit (MVR)]]*Table13[[#This Row],[Qty 
(NOS)]]</f>
        <v>1320</v>
      </c>
      <c r="P34" s="64">
        <f t="shared" si="18"/>
        <v>1520</v>
      </c>
      <c r="Q34" s="65">
        <v>380</v>
      </c>
      <c r="R34" s="64">
        <f t="shared" si="19"/>
        <v>304</v>
      </c>
      <c r="S34" s="7">
        <v>17.86</v>
      </c>
      <c r="T34" s="28">
        <f t="shared" si="20"/>
        <v>392.91999999999996</v>
      </c>
      <c r="U34" s="28">
        <v>407.66</v>
      </c>
      <c r="V34" s="7">
        <v>18.53</v>
      </c>
      <c r="W34" s="7">
        <v>1.96</v>
      </c>
      <c r="X34" s="28">
        <f t="shared" si="5"/>
        <v>344.96</v>
      </c>
      <c r="Y34" s="28">
        <v>90</v>
      </c>
      <c r="Z34" s="60">
        <f t="shared" si="21"/>
        <v>86.24</v>
      </c>
      <c r="AA34" s="70">
        <v>43.12</v>
      </c>
      <c r="AB34" s="28">
        <v>300</v>
      </c>
      <c r="AC34" s="28">
        <v>330</v>
      </c>
      <c r="AD34" s="27">
        <f t="shared" si="6"/>
        <v>285.73259999999999</v>
      </c>
      <c r="AE34" s="25">
        <f t="shared" si="7"/>
        <v>308.59120799999999</v>
      </c>
      <c r="AF34" s="25">
        <f t="shared" si="8"/>
        <v>1234.364832</v>
      </c>
      <c r="AG34" s="25">
        <f t="shared" si="9"/>
        <v>424.51260000000002</v>
      </c>
      <c r="AH34" s="25">
        <f t="shared" si="10"/>
        <v>458.47360800000007</v>
      </c>
      <c r="AI34" s="25">
        <f t="shared" si="11"/>
        <v>1833.8944320000003</v>
      </c>
      <c r="AJ34" s="25">
        <f t="shared" si="12"/>
        <v>407.66</v>
      </c>
      <c r="AK34" s="25">
        <f t="shared" si="13"/>
        <v>440.27280000000007</v>
      </c>
      <c r="AL34" s="25">
        <f t="shared" si="14"/>
        <v>1761.0912000000003</v>
      </c>
      <c r="AM34" s="25">
        <f t="shared" si="15"/>
        <v>605.66000000000008</v>
      </c>
      <c r="AN34" s="27">
        <f t="shared" si="16"/>
        <v>654.11280000000011</v>
      </c>
      <c r="AO34" s="27">
        <f t="shared" si="17"/>
        <v>2616.4512000000004</v>
      </c>
      <c r="AP34" s="41">
        <f>Table13[[#This Row],[Total Selling Price / Unit (MVR)]]/Table13[[#This Row],[CNF / Unit
(MVR)]]</f>
        <v>7.6530612244897966</v>
      </c>
      <c r="AQ34" s="36">
        <f>Table13[[#This Row],[Total Selling Price / Unit (MVR)]]-(Table13[[#This Row],[GST 8%
(MVR)]]+Table13[[#This Row],[Weighted max
expense (MVR)]])</f>
        <v>241.7817120250109</v>
      </c>
      <c r="AR34" s="37">
        <f>Table13[[#This Row],[Profit / Unit (MVR)]]*Table13[[#This Row],[Qty 
(NOS)]]</f>
        <v>967.12684810004362</v>
      </c>
      <c r="AS34"/>
      <c r="AT34"/>
    </row>
    <row r="35" spans="1:46" x14ac:dyDescent="0.25">
      <c r="A35" t="s">
        <v>97</v>
      </c>
      <c r="B35" s="21" t="s">
        <v>125</v>
      </c>
      <c r="C35" s="4">
        <v>4</v>
      </c>
      <c r="D35" s="7">
        <v>6.33</v>
      </c>
      <c r="E35" s="28">
        <v>25.32</v>
      </c>
      <c r="F35" s="28">
        <f t="shared" ref="F35:F66" si="22">D35*22</f>
        <v>139.26</v>
      </c>
      <c r="G35" s="4">
        <f t="shared" ref="G35:G66" si="23">SUM(F35*C35)</f>
        <v>557.04</v>
      </c>
      <c r="H35" s="28" t="s">
        <v>114</v>
      </c>
      <c r="I35" s="28">
        <v>298.10000000000002</v>
      </c>
      <c r="J35" s="39">
        <f t="shared" ref="J35:J66" si="24">L35-K35</f>
        <v>71.81429331433506</v>
      </c>
      <c r="K35" s="30">
        <f>(F35/$G$92)*Costs!$B$23</f>
        <v>205.96348446344271</v>
      </c>
      <c r="L35" s="30">
        <f t="shared" ref="L35:L66" si="25">N35/1.08</f>
        <v>277.77777777777777</v>
      </c>
      <c r="M35" s="30">
        <f t="shared" ref="M35:M66" si="26">L35*0.08</f>
        <v>22.222222222222221</v>
      </c>
      <c r="N35" s="39">
        <v>300</v>
      </c>
      <c r="O35" s="27">
        <f>Table13[[#This Row],[Total Selling Price / Unit (MVR)]]*Table13[[#This Row],[Qty 
(NOS)]]</f>
        <v>1200</v>
      </c>
      <c r="P35" s="64">
        <f t="shared" si="18"/>
        <v>1400</v>
      </c>
      <c r="Q35" s="65">
        <v>350</v>
      </c>
      <c r="R35" s="64">
        <f t="shared" si="19"/>
        <v>280</v>
      </c>
      <c r="S35" s="7">
        <v>17.86</v>
      </c>
      <c r="T35" s="28">
        <f t="shared" si="20"/>
        <v>392.91999999999996</v>
      </c>
      <c r="U35" s="28" t="s">
        <v>114</v>
      </c>
      <c r="V35" s="61">
        <v>18.53</v>
      </c>
      <c r="W35" s="7">
        <v>6.33</v>
      </c>
      <c r="X35" s="28">
        <f t="shared" ref="X35:X66" si="27">Z35*C35</f>
        <v>1114.08</v>
      </c>
      <c r="Y35" s="28">
        <v>280</v>
      </c>
      <c r="Z35" s="60">
        <f t="shared" si="21"/>
        <v>278.52</v>
      </c>
      <c r="AA35" s="69">
        <v>139.26</v>
      </c>
      <c r="AB35" s="28">
        <v>298.10000000000002</v>
      </c>
      <c r="AC35" s="28">
        <v>300</v>
      </c>
      <c r="AD35" s="27">
        <f t="shared" ref="AD35:AD66" si="28">V35*15.42</f>
        <v>285.73259999999999</v>
      </c>
      <c r="AE35" s="25">
        <f t="shared" si="7"/>
        <v>308.59120799999999</v>
      </c>
      <c r="AF35" s="25">
        <f t="shared" ref="AF35:AF66" si="29">C35*AE35</f>
        <v>1234.364832</v>
      </c>
      <c r="AG35" s="25">
        <f t="shared" ref="AG35:AG66" si="30">(V35+9)*15.42</f>
        <v>424.51260000000002</v>
      </c>
      <c r="AH35" s="25">
        <f t="shared" si="10"/>
        <v>458.47360800000007</v>
      </c>
      <c r="AI35" s="25">
        <f t="shared" ref="AI35:AI66" si="31">C35*AH35</f>
        <v>1833.8944320000003</v>
      </c>
      <c r="AJ35" s="25">
        <f t="shared" si="12"/>
        <v>407.66</v>
      </c>
      <c r="AK35" s="25">
        <f t="shared" si="13"/>
        <v>440.27280000000007</v>
      </c>
      <c r="AL35" s="25">
        <f t="shared" ref="AL35:AL66" si="32">C35*AK35</f>
        <v>1761.0912000000003</v>
      </c>
      <c r="AM35" s="25">
        <f t="shared" ref="AM35:AM66" si="33">(V35+9)*22</f>
        <v>605.66000000000008</v>
      </c>
      <c r="AN35" s="27">
        <f t="shared" si="16"/>
        <v>654.11280000000011</v>
      </c>
      <c r="AO35" s="27">
        <f t="shared" ref="AO35:AO66" si="34">C35*AN35</f>
        <v>2616.4512000000004</v>
      </c>
      <c r="AP35" s="22">
        <f>Table13[[#This Row],[Total Selling Price / Unit (MVR)]]/Table13[[#This Row],[CNF / Unit
(MVR)]]</f>
        <v>2.154243860404998</v>
      </c>
      <c r="AQ35" s="34">
        <f>Table13[[#This Row],[Total Selling Price / Unit (MVR)]]-(Table13[[#This Row],[GST 8%
(MVR)]]+Table13[[#This Row],[Weighted max
expense (MVR)]])</f>
        <v>71.81429331433506</v>
      </c>
      <c r="AR35" s="35">
        <f>Table13[[#This Row],[Profit / Unit (MVR)]]*Table13[[#This Row],[Qty 
(NOS)]]</f>
        <v>287.25717325734024</v>
      </c>
      <c r="AS35"/>
      <c r="AT35"/>
    </row>
    <row r="36" spans="1:46" x14ac:dyDescent="0.25">
      <c r="A36" t="s">
        <v>55</v>
      </c>
      <c r="B36" s="19" t="s">
        <v>123</v>
      </c>
      <c r="C36" s="4">
        <v>4</v>
      </c>
      <c r="D36" s="7">
        <v>3.34</v>
      </c>
      <c r="E36" s="28">
        <v>13.36</v>
      </c>
      <c r="F36" s="28">
        <f t="shared" si="22"/>
        <v>73.47999999999999</v>
      </c>
      <c r="G36" s="4">
        <f t="shared" si="23"/>
        <v>293.91999999999996</v>
      </c>
      <c r="H36" s="28" t="s">
        <v>114</v>
      </c>
      <c r="I36" s="28">
        <v>125.83999999999999</v>
      </c>
      <c r="J36" s="40">
        <f t="shared" si="24"/>
        <v>67.250090521834508</v>
      </c>
      <c r="K36" s="31">
        <f>(F36/$G$92)*Costs!$B$23</f>
        <v>108.67583540409142</v>
      </c>
      <c r="L36" s="31">
        <f t="shared" si="25"/>
        <v>175.92592592592592</v>
      </c>
      <c r="M36" s="31">
        <f t="shared" si="26"/>
        <v>14.074074074074074</v>
      </c>
      <c r="N36" s="40">
        <v>190</v>
      </c>
      <c r="O36" s="25">
        <f>Table13[[#This Row],[Total Selling Price / Unit (MVR)]]*Table13[[#This Row],[Qty 
(NOS)]]</f>
        <v>760</v>
      </c>
      <c r="P36" s="64">
        <f t="shared" si="18"/>
        <v>760</v>
      </c>
      <c r="Q36" s="64">
        <v>190</v>
      </c>
      <c r="R36" s="64">
        <f t="shared" si="19"/>
        <v>152</v>
      </c>
      <c r="S36" s="7">
        <v>10.71</v>
      </c>
      <c r="T36" s="28">
        <f t="shared" si="20"/>
        <v>235.62</v>
      </c>
      <c r="U36" s="28" t="s">
        <v>114</v>
      </c>
      <c r="V36" s="61">
        <v>10</v>
      </c>
      <c r="W36" s="7">
        <v>3.34</v>
      </c>
      <c r="X36" s="28">
        <f t="shared" si="27"/>
        <v>587.83999999999992</v>
      </c>
      <c r="Y36" s="28">
        <v>150</v>
      </c>
      <c r="Z36" s="60">
        <f t="shared" si="21"/>
        <v>146.95999999999998</v>
      </c>
      <c r="AA36" s="70">
        <v>73.47999999999999</v>
      </c>
      <c r="AB36" s="28">
        <v>125.83999999999999</v>
      </c>
      <c r="AC36" s="28">
        <v>190</v>
      </c>
      <c r="AD36" s="25">
        <f t="shared" si="28"/>
        <v>154.19999999999999</v>
      </c>
      <c r="AE36" s="25">
        <f t="shared" si="7"/>
        <v>166.536</v>
      </c>
      <c r="AF36" s="25">
        <f t="shared" si="29"/>
        <v>666.14400000000001</v>
      </c>
      <c r="AG36" s="25">
        <f t="shared" si="30"/>
        <v>292.98</v>
      </c>
      <c r="AH36" s="25">
        <f t="shared" si="10"/>
        <v>316.41840000000002</v>
      </c>
      <c r="AI36" s="25">
        <f t="shared" si="31"/>
        <v>1265.6736000000001</v>
      </c>
      <c r="AJ36" s="25">
        <f t="shared" si="12"/>
        <v>220</v>
      </c>
      <c r="AK36" s="25">
        <f t="shared" si="13"/>
        <v>237.60000000000002</v>
      </c>
      <c r="AL36" s="25">
        <f t="shared" si="32"/>
        <v>950.40000000000009</v>
      </c>
      <c r="AM36" s="25">
        <f t="shared" si="33"/>
        <v>418</v>
      </c>
      <c r="AN36" s="25">
        <f t="shared" si="16"/>
        <v>451.44000000000005</v>
      </c>
      <c r="AO36" s="25">
        <f t="shared" si="34"/>
        <v>1805.7600000000002</v>
      </c>
      <c r="AP36" s="22">
        <f>Table13[[#This Row],[Total Selling Price / Unit (MVR)]]/Table13[[#This Row],[CNF / Unit
(MVR)]]</f>
        <v>2.5857376156777359</v>
      </c>
      <c r="AQ36" s="36">
        <f>Table13[[#This Row],[Total Selling Price / Unit (MVR)]]-(Table13[[#This Row],[GST 8%
(MVR)]]+Table13[[#This Row],[Weighted max
expense (MVR)]])</f>
        <v>67.250090521834508</v>
      </c>
      <c r="AR36" s="37">
        <f>Table13[[#This Row],[Profit / Unit (MVR)]]*Table13[[#This Row],[Qty 
(NOS)]]</f>
        <v>269.00036208733803</v>
      </c>
      <c r="AS36"/>
      <c r="AT36"/>
    </row>
    <row r="37" spans="1:46" x14ac:dyDescent="0.25">
      <c r="A37" t="s">
        <v>56</v>
      </c>
      <c r="B37" s="19" t="s">
        <v>123</v>
      </c>
      <c r="C37" s="4">
        <v>4</v>
      </c>
      <c r="D37" s="7">
        <v>3.34</v>
      </c>
      <c r="E37" s="28">
        <v>13.36</v>
      </c>
      <c r="F37" s="28">
        <f t="shared" si="22"/>
        <v>73.47999999999999</v>
      </c>
      <c r="G37" s="4">
        <f t="shared" si="23"/>
        <v>293.91999999999996</v>
      </c>
      <c r="H37" s="28" t="s">
        <v>114</v>
      </c>
      <c r="I37" s="28">
        <v>125.83999999999999</v>
      </c>
      <c r="J37" s="39">
        <f t="shared" si="24"/>
        <v>67.250090521834508</v>
      </c>
      <c r="K37" s="30">
        <f>(F37/$G$92)*Costs!$B$23</f>
        <v>108.67583540409142</v>
      </c>
      <c r="L37" s="30">
        <f t="shared" si="25"/>
        <v>175.92592592592592</v>
      </c>
      <c r="M37" s="30">
        <f t="shared" si="26"/>
        <v>14.074074074074074</v>
      </c>
      <c r="N37" s="39">
        <v>190</v>
      </c>
      <c r="O37" s="25">
        <f>Table13[[#This Row],[Total Selling Price / Unit (MVR)]]*Table13[[#This Row],[Qty 
(NOS)]]</f>
        <v>760</v>
      </c>
      <c r="P37" s="64">
        <f t="shared" si="18"/>
        <v>760</v>
      </c>
      <c r="Q37" s="64">
        <v>190</v>
      </c>
      <c r="R37" s="64">
        <f t="shared" si="19"/>
        <v>152</v>
      </c>
      <c r="S37" s="7">
        <v>10.71</v>
      </c>
      <c r="T37" s="28">
        <f t="shared" si="20"/>
        <v>235.62</v>
      </c>
      <c r="U37" s="28" t="s">
        <v>114</v>
      </c>
      <c r="V37" s="61">
        <v>10</v>
      </c>
      <c r="W37" s="7">
        <v>3.34</v>
      </c>
      <c r="X37" s="28">
        <f t="shared" si="27"/>
        <v>587.83999999999992</v>
      </c>
      <c r="Y37" s="28">
        <v>150</v>
      </c>
      <c r="Z37" s="60">
        <f t="shared" si="21"/>
        <v>146.95999999999998</v>
      </c>
      <c r="AA37" s="69">
        <v>73.47999999999999</v>
      </c>
      <c r="AB37" s="28">
        <v>125.83999999999999</v>
      </c>
      <c r="AC37" s="28">
        <v>190</v>
      </c>
      <c r="AD37" s="25">
        <f t="shared" si="28"/>
        <v>154.19999999999999</v>
      </c>
      <c r="AE37" s="25">
        <f t="shared" si="7"/>
        <v>166.536</v>
      </c>
      <c r="AF37" s="25">
        <f t="shared" si="29"/>
        <v>666.14400000000001</v>
      </c>
      <c r="AG37" s="25">
        <f t="shared" si="30"/>
        <v>292.98</v>
      </c>
      <c r="AH37" s="25">
        <f t="shared" si="10"/>
        <v>316.41840000000002</v>
      </c>
      <c r="AI37" s="25">
        <f t="shared" si="31"/>
        <v>1265.6736000000001</v>
      </c>
      <c r="AJ37" s="25">
        <f t="shared" si="12"/>
        <v>220</v>
      </c>
      <c r="AK37" s="25">
        <f t="shared" si="13"/>
        <v>237.60000000000002</v>
      </c>
      <c r="AL37" s="25">
        <f t="shared" si="32"/>
        <v>950.40000000000009</v>
      </c>
      <c r="AM37" s="25">
        <f t="shared" si="33"/>
        <v>418</v>
      </c>
      <c r="AN37" s="25">
        <f t="shared" si="16"/>
        <v>451.44000000000005</v>
      </c>
      <c r="AO37" s="25">
        <f t="shared" si="34"/>
        <v>1805.7600000000002</v>
      </c>
      <c r="AP37" s="22">
        <f>Table13[[#This Row],[Total Selling Price / Unit (MVR)]]/Table13[[#This Row],[CNF / Unit
(MVR)]]</f>
        <v>2.5857376156777359</v>
      </c>
      <c r="AQ37" s="34">
        <f>Table13[[#This Row],[Total Selling Price / Unit (MVR)]]-(Table13[[#This Row],[GST 8%
(MVR)]]+Table13[[#This Row],[Weighted max
expense (MVR)]])</f>
        <v>67.250090521834508</v>
      </c>
      <c r="AR37" s="35">
        <f>Table13[[#This Row],[Profit / Unit (MVR)]]*Table13[[#This Row],[Qty 
(NOS)]]</f>
        <v>269.00036208733803</v>
      </c>
      <c r="AS37"/>
      <c r="AT37"/>
    </row>
    <row r="38" spans="1:46" x14ac:dyDescent="0.25">
      <c r="A38" t="s">
        <v>57</v>
      </c>
      <c r="B38" s="19" t="s">
        <v>123</v>
      </c>
      <c r="C38" s="4">
        <v>4</v>
      </c>
      <c r="D38" s="7">
        <v>3.34</v>
      </c>
      <c r="E38" s="28">
        <v>13.36</v>
      </c>
      <c r="F38" s="28">
        <f t="shared" si="22"/>
        <v>73.47999999999999</v>
      </c>
      <c r="G38" s="4">
        <f t="shared" si="23"/>
        <v>293.91999999999996</v>
      </c>
      <c r="H38" s="28" t="s">
        <v>114</v>
      </c>
      <c r="I38" s="28">
        <v>125.83999999999999</v>
      </c>
      <c r="J38" s="40">
        <f t="shared" si="24"/>
        <v>67.250090521834508</v>
      </c>
      <c r="K38" s="31">
        <f>(F38/$G$92)*Costs!$B$23</f>
        <v>108.67583540409142</v>
      </c>
      <c r="L38" s="31">
        <f t="shared" si="25"/>
        <v>175.92592592592592</v>
      </c>
      <c r="M38" s="31">
        <f t="shared" si="26"/>
        <v>14.074074074074074</v>
      </c>
      <c r="N38" s="40">
        <v>190</v>
      </c>
      <c r="O38" s="25">
        <f>Table13[[#This Row],[Total Selling Price / Unit (MVR)]]*Table13[[#This Row],[Qty 
(NOS)]]</f>
        <v>760</v>
      </c>
      <c r="P38" s="64">
        <f t="shared" si="18"/>
        <v>760</v>
      </c>
      <c r="Q38" s="64">
        <v>190</v>
      </c>
      <c r="R38" s="64">
        <f t="shared" si="19"/>
        <v>152</v>
      </c>
      <c r="S38" s="7">
        <v>10.71</v>
      </c>
      <c r="T38" s="28">
        <f t="shared" si="20"/>
        <v>235.62</v>
      </c>
      <c r="U38" s="28" t="s">
        <v>114</v>
      </c>
      <c r="V38" s="61">
        <v>10</v>
      </c>
      <c r="W38" s="7">
        <v>3.34</v>
      </c>
      <c r="X38" s="28">
        <f t="shared" si="27"/>
        <v>587.83999999999992</v>
      </c>
      <c r="Y38" s="28">
        <v>150</v>
      </c>
      <c r="Z38" s="60">
        <f t="shared" si="21"/>
        <v>146.95999999999998</v>
      </c>
      <c r="AA38" s="70">
        <v>73.47999999999999</v>
      </c>
      <c r="AB38" s="28">
        <v>125.83999999999999</v>
      </c>
      <c r="AC38" s="28">
        <v>190</v>
      </c>
      <c r="AD38" s="25">
        <f t="shared" si="28"/>
        <v>154.19999999999999</v>
      </c>
      <c r="AE38" s="25">
        <f t="shared" si="7"/>
        <v>166.536</v>
      </c>
      <c r="AF38" s="25">
        <f t="shared" si="29"/>
        <v>666.14400000000001</v>
      </c>
      <c r="AG38" s="25">
        <f t="shared" si="30"/>
        <v>292.98</v>
      </c>
      <c r="AH38" s="25">
        <f t="shared" si="10"/>
        <v>316.41840000000002</v>
      </c>
      <c r="AI38" s="25">
        <f t="shared" si="31"/>
        <v>1265.6736000000001</v>
      </c>
      <c r="AJ38" s="25">
        <f t="shared" si="12"/>
        <v>220</v>
      </c>
      <c r="AK38" s="25">
        <f t="shared" si="13"/>
        <v>237.60000000000002</v>
      </c>
      <c r="AL38" s="25">
        <f t="shared" si="32"/>
        <v>950.40000000000009</v>
      </c>
      <c r="AM38" s="25">
        <f t="shared" si="33"/>
        <v>418</v>
      </c>
      <c r="AN38" s="25">
        <f t="shared" si="16"/>
        <v>451.44000000000005</v>
      </c>
      <c r="AO38" s="25">
        <f t="shared" si="34"/>
        <v>1805.7600000000002</v>
      </c>
      <c r="AP38" s="22">
        <f>Table13[[#This Row],[Total Selling Price / Unit (MVR)]]/Table13[[#This Row],[CNF / Unit
(MVR)]]</f>
        <v>2.5857376156777359</v>
      </c>
      <c r="AQ38" s="36">
        <f>Table13[[#This Row],[Total Selling Price / Unit (MVR)]]-(Table13[[#This Row],[GST 8%
(MVR)]]+Table13[[#This Row],[Weighted max
expense (MVR)]])</f>
        <v>67.250090521834508</v>
      </c>
      <c r="AR38" s="37">
        <f>Table13[[#This Row],[Profit / Unit (MVR)]]*Table13[[#This Row],[Qty 
(NOS)]]</f>
        <v>269.00036208733803</v>
      </c>
      <c r="AS38"/>
      <c r="AT38"/>
    </row>
    <row r="39" spans="1:46" x14ac:dyDescent="0.25">
      <c r="A39" t="s">
        <v>62</v>
      </c>
      <c r="B39" s="20" t="s">
        <v>124</v>
      </c>
      <c r="C39" s="4">
        <v>4</v>
      </c>
      <c r="D39" s="7">
        <v>2.13</v>
      </c>
      <c r="E39" s="28">
        <v>8.52</v>
      </c>
      <c r="F39" s="28">
        <f t="shared" si="22"/>
        <v>46.86</v>
      </c>
      <c r="G39" s="4">
        <f t="shared" si="23"/>
        <v>187.44</v>
      </c>
      <c r="H39" s="28">
        <v>440</v>
      </c>
      <c r="I39" s="28">
        <v>47.739999999999995</v>
      </c>
      <c r="J39" s="39">
        <f t="shared" si="24"/>
        <v>143.65771463640166</v>
      </c>
      <c r="K39" s="30">
        <f>(F39/$G$92)*Costs!$B$23</f>
        <v>69.305248326561298</v>
      </c>
      <c r="L39" s="30">
        <f t="shared" si="25"/>
        <v>212.96296296296296</v>
      </c>
      <c r="M39" s="30">
        <f t="shared" si="26"/>
        <v>17.037037037037038</v>
      </c>
      <c r="N39" s="39">
        <v>230</v>
      </c>
      <c r="O39" s="25">
        <f>Table13[[#This Row],[Total Selling Price / Unit (MVR)]]*Table13[[#This Row],[Qty 
(NOS)]]</f>
        <v>920</v>
      </c>
      <c r="P39" s="64">
        <f t="shared" si="18"/>
        <v>920</v>
      </c>
      <c r="Q39" s="64">
        <v>230</v>
      </c>
      <c r="R39" s="64">
        <f t="shared" si="19"/>
        <v>184</v>
      </c>
      <c r="S39" s="7">
        <v>7.14</v>
      </c>
      <c r="T39" s="28">
        <f t="shared" si="20"/>
        <v>157.07999999999998</v>
      </c>
      <c r="U39" s="28">
        <v>440</v>
      </c>
      <c r="V39" s="7">
        <v>20</v>
      </c>
      <c r="W39" s="7">
        <v>2.13</v>
      </c>
      <c r="X39" s="28">
        <f t="shared" si="27"/>
        <v>374.88</v>
      </c>
      <c r="Y39" s="28">
        <v>95</v>
      </c>
      <c r="Z39" s="60">
        <f t="shared" si="21"/>
        <v>93.72</v>
      </c>
      <c r="AA39" s="69">
        <v>46.86</v>
      </c>
      <c r="AB39" s="28">
        <v>47.739999999999995</v>
      </c>
      <c r="AC39" s="28">
        <v>230</v>
      </c>
      <c r="AD39" s="25">
        <f t="shared" si="28"/>
        <v>308.39999999999998</v>
      </c>
      <c r="AE39" s="25">
        <f t="shared" si="7"/>
        <v>333.072</v>
      </c>
      <c r="AF39" s="25">
        <f t="shared" si="29"/>
        <v>1332.288</v>
      </c>
      <c r="AG39" s="25">
        <f t="shared" si="30"/>
        <v>447.18</v>
      </c>
      <c r="AH39" s="25">
        <f t="shared" si="10"/>
        <v>482.95440000000002</v>
      </c>
      <c r="AI39" s="25">
        <f t="shared" si="31"/>
        <v>1931.8176000000001</v>
      </c>
      <c r="AJ39" s="25">
        <f t="shared" si="12"/>
        <v>440</v>
      </c>
      <c r="AK39" s="25">
        <f t="shared" si="13"/>
        <v>475.20000000000005</v>
      </c>
      <c r="AL39" s="25">
        <f t="shared" si="32"/>
        <v>1900.8000000000002</v>
      </c>
      <c r="AM39" s="25">
        <f t="shared" si="33"/>
        <v>638</v>
      </c>
      <c r="AN39" s="25">
        <f t="shared" si="16"/>
        <v>689.04000000000008</v>
      </c>
      <c r="AO39" s="25">
        <f t="shared" si="34"/>
        <v>2756.1600000000003</v>
      </c>
      <c r="AP39" s="22">
        <f>Table13[[#This Row],[Total Selling Price / Unit (MVR)]]/Table13[[#This Row],[CNF / Unit
(MVR)]]</f>
        <v>4.9082373026035002</v>
      </c>
      <c r="AQ39" s="34">
        <f>Table13[[#This Row],[Total Selling Price / Unit (MVR)]]-(Table13[[#This Row],[GST 8%
(MVR)]]+Table13[[#This Row],[Weighted max
expense (MVR)]])</f>
        <v>143.65771463640166</v>
      </c>
      <c r="AR39" s="35">
        <f>Table13[[#This Row],[Profit / Unit (MVR)]]*Table13[[#This Row],[Qty 
(NOS)]]</f>
        <v>574.63085854560666</v>
      </c>
      <c r="AS39"/>
      <c r="AT39"/>
    </row>
    <row r="40" spans="1:46" x14ac:dyDescent="0.25">
      <c r="A40" t="s">
        <v>58</v>
      </c>
      <c r="B40" s="20" t="s">
        <v>124</v>
      </c>
      <c r="C40" s="4">
        <v>4</v>
      </c>
      <c r="D40" s="7">
        <v>2.13</v>
      </c>
      <c r="E40" s="28">
        <v>8.52</v>
      </c>
      <c r="F40" s="28">
        <f t="shared" si="22"/>
        <v>46.86</v>
      </c>
      <c r="G40" s="4">
        <f t="shared" si="23"/>
        <v>187.44</v>
      </c>
      <c r="H40" s="28">
        <v>440</v>
      </c>
      <c r="I40" s="28">
        <v>47.739999999999995</v>
      </c>
      <c r="J40" s="40">
        <f t="shared" si="24"/>
        <v>143.65771463640166</v>
      </c>
      <c r="K40" s="31">
        <f>(F40/$G$92)*Costs!$B$23</f>
        <v>69.305248326561298</v>
      </c>
      <c r="L40" s="31">
        <f t="shared" si="25"/>
        <v>212.96296296296296</v>
      </c>
      <c r="M40" s="31">
        <f t="shared" si="26"/>
        <v>17.037037037037038</v>
      </c>
      <c r="N40" s="40">
        <v>230</v>
      </c>
      <c r="O40" s="25">
        <f>Table13[[#This Row],[Total Selling Price / Unit (MVR)]]*Table13[[#This Row],[Qty 
(NOS)]]</f>
        <v>920</v>
      </c>
      <c r="P40" s="64">
        <f t="shared" si="18"/>
        <v>920</v>
      </c>
      <c r="Q40" s="64">
        <v>230</v>
      </c>
      <c r="R40" s="64">
        <f t="shared" si="19"/>
        <v>184</v>
      </c>
      <c r="S40" s="7">
        <v>7.14</v>
      </c>
      <c r="T40" s="28">
        <f t="shared" si="20"/>
        <v>157.07999999999998</v>
      </c>
      <c r="U40" s="28">
        <v>440</v>
      </c>
      <c r="V40" s="7">
        <v>20</v>
      </c>
      <c r="W40" s="7">
        <v>2.13</v>
      </c>
      <c r="X40" s="28">
        <f t="shared" si="27"/>
        <v>374.88</v>
      </c>
      <c r="Y40" s="28">
        <v>95</v>
      </c>
      <c r="Z40" s="60">
        <f t="shared" si="21"/>
        <v>93.72</v>
      </c>
      <c r="AA40" s="70">
        <v>46.86</v>
      </c>
      <c r="AB40" s="28">
        <v>47.739999999999995</v>
      </c>
      <c r="AC40" s="28">
        <v>230</v>
      </c>
      <c r="AD40" s="25">
        <f t="shared" si="28"/>
        <v>308.39999999999998</v>
      </c>
      <c r="AE40" s="25">
        <f t="shared" si="7"/>
        <v>333.072</v>
      </c>
      <c r="AF40" s="25">
        <f t="shared" si="29"/>
        <v>1332.288</v>
      </c>
      <c r="AG40" s="25">
        <f t="shared" si="30"/>
        <v>447.18</v>
      </c>
      <c r="AH40" s="25">
        <f t="shared" si="10"/>
        <v>482.95440000000002</v>
      </c>
      <c r="AI40" s="25">
        <f t="shared" si="31"/>
        <v>1931.8176000000001</v>
      </c>
      <c r="AJ40" s="25">
        <f t="shared" si="12"/>
        <v>440</v>
      </c>
      <c r="AK40" s="25">
        <f t="shared" si="13"/>
        <v>475.20000000000005</v>
      </c>
      <c r="AL40" s="25">
        <f t="shared" si="32"/>
        <v>1900.8000000000002</v>
      </c>
      <c r="AM40" s="25">
        <f t="shared" si="33"/>
        <v>638</v>
      </c>
      <c r="AN40" s="25">
        <f t="shared" si="16"/>
        <v>689.04000000000008</v>
      </c>
      <c r="AO40" s="25">
        <f t="shared" si="34"/>
        <v>2756.1600000000003</v>
      </c>
      <c r="AP40" s="22">
        <f>Table13[[#This Row],[Total Selling Price / Unit (MVR)]]/Table13[[#This Row],[CNF / Unit
(MVR)]]</f>
        <v>4.9082373026035002</v>
      </c>
      <c r="AQ40" s="36">
        <f>Table13[[#This Row],[Total Selling Price / Unit (MVR)]]-(Table13[[#This Row],[GST 8%
(MVR)]]+Table13[[#This Row],[Weighted max
expense (MVR)]])</f>
        <v>143.65771463640166</v>
      </c>
      <c r="AR40" s="37">
        <f>Table13[[#This Row],[Profit / Unit (MVR)]]*Table13[[#This Row],[Qty 
(NOS)]]</f>
        <v>574.63085854560666</v>
      </c>
      <c r="AS40"/>
      <c r="AT40"/>
    </row>
    <row r="41" spans="1:46" x14ac:dyDescent="0.25">
      <c r="A41" t="s">
        <v>61</v>
      </c>
      <c r="B41" s="20" t="s">
        <v>124</v>
      </c>
      <c r="C41" s="4">
        <v>4</v>
      </c>
      <c r="D41" s="7">
        <v>2.13</v>
      </c>
      <c r="E41" s="28">
        <v>8.52</v>
      </c>
      <c r="F41" s="28">
        <f t="shared" si="22"/>
        <v>46.86</v>
      </c>
      <c r="G41" s="4">
        <f t="shared" si="23"/>
        <v>187.44</v>
      </c>
      <c r="H41" s="28">
        <v>440</v>
      </c>
      <c r="I41" s="28">
        <v>47.739999999999995</v>
      </c>
      <c r="J41" s="39">
        <f t="shared" si="24"/>
        <v>143.65771463640166</v>
      </c>
      <c r="K41" s="30">
        <f>(F41/$G$92)*Costs!$B$23</f>
        <v>69.305248326561298</v>
      </c>
      <c r="L41" s="30">
        <f t="shared" si="25"/>
        <v>212.96296296296296</v>
      </c>
      <c r="M41" s="30">
        <f t="shared" si="26"/>
        <v>17.037037037037038</v>
      </c>
      <c r="N41" s="39">
        <v>230</v>
      </c>
      <c r="O41" s="25">
        <f>Table13[[#This Row],[Total Selling Price / Unit (MVR)]]*Table13[[#This Row],[Qty 
(NOS)]]</f>
        <v>920</v>
      </c>
      <c r="P41" s="64">
        <f t="shared" si="18"/>
        <v>920</v>
      </c>
      <c r="Q41" s="64">
        <v>230</v>
      </c>
      <c r="R41" s="64">
        <f t="shared" si="19"/>
        <v>184</v>
      </c>
      <c r="S41" s="7">
        <v>7.14</v>
      </c>
      <c r="T41" s="28">
        <f t="shared" si="20"/>
        <v>157.07999999999998</v>
      </c>
      <c r="U41" s="28">
        <v>440</v>
      </c>
      <c r="V41" s="7">
        <v>20</v>
      </c>
      <c r="W41" s="7">
        <v>2.13</v>
      </c>
      <c r="X41" s="28">
        <f t="shared" si="27"/>
        <v>374.88</v>
      </c>
      <c r="Y41" s="28">
        <v>95</v>
      </c>
      <c r="Z41" s="60">
        <f t="shared" si="21"/>
        <v>93.72</v>
      </c>
      <c r="AA41" s="69">
        <v>46.86</v>
      </c>
      <c r="AB41" s="28">
        <v>47.739999999999995</v>
      </c>
      <c r="AC41" s="28">
        <v>230</v>
      </c>
      <c r="AD41" s="25">
        <f t="shared" si="28"/>
        <v>308.39999999999998</v>
      </c>
      <c r="AE41" s="25">
        <f t="shared" si="7"/>
        <v>333.072</v>
      </c>
      <c r="AF41" s="25">
        <f t="shared" si="29"/>
        <v>1332.288</v>
      </c>
      <c r="AG41" s="25">
        <f t="shared" si="30"/>
        <v>447.18</v>
      </c>
      <c r="AH41" s="25">
        <f t="shared" si="10"/>
        <v>482.95440000000002</v>
      </c>
      <c r="AI41" s="25">
        <f t="shared" si="31"/>
        <v>1931.8176000000001</v>
      </c>
      <c r="AJ41" s="25">
        <f t="shared" si="12"/>
        <v>440</v>
      </c>
      <c r="AK41" s="25">
        <f t="shared" si="13"/>
        <v>475.20000000000005</v>
      </c>
      <c r="AL41" s="25">
        <f t="shared" si="32"/>
        <v>1900.8000000000002</v>
      </c>
      <c r="AM41" s="25">
        <f t="shared" si="33"/>
        <v>638</v>
      </c>
      <c r="AN41" s="25">
        <f t="shared" si="16"/>
        <v>689.04000000000008</v>
      </c>
      <c r="AO41" s="25">
        <f t="shared" si="34"/>
        <v>2756.1600000000003</v>
      </c>
      <c r="AP41" s="22">
        <f>Table13[[#This Row],[Total Selling Price / Unit (MVR)]]/Table13[[#This Row],[CNF / Unit
(MVR)]]</f>
        <v>4.9082373026035002</v>
      </c>
      <c r="AQ41" s="34">
        <f>Table13[[#This Row],[Total Selling Price / Unit (MVR)]]-(Table13[[#This Row],[GST 8%
(MVR)]]+Table13[[#This Row],[Weighted max
expense (MVR)]])</f>
        <v>143.65771463640166</v>
      </c>
      <c r="AR41" s="35">
        <f>Table13[[#This Row],[Profit / Unit (MVR)]]*Table13[[#This Row],[Qty 
(NOS)]]</f>
        <v>574.63085854560666</v>
      </c>
      <c r="AS41"/>
      <c r="AT41"/>
    </row>
    <row r="42" spans="1:46" x14ac:dyDescent="0.25">
      <c r="A42" t="s">
        <v>59</v>
      </c>
      <c r="B42" s="20" t="s">
        <v>124</v>
      </c>
      <c r="C42" s="4">
        <v>4</v>
      </c>
      <c r="D42" s="7">
        <v>2.13</v>
      </c>
      <c r="E42" s="28">
        <v>8.52</v>
      </c>
      <c r="F42" s="28">
        <f t="shared" si="22"/>
        <v>46.86</v>
      </c>
      <c r="G42" s="4">
        <f t="shared" si="23"/>
        <v>187.44</v>
      </c>
      <c r="H42" s="28">
        <v>440</v>
      </c>
      <c r="I42" s="28">
        <v>47.739999999999995</v>
      </c>
      <c r="J42" s="40">
        <f t="shared" si="24"/>
        <v>143.65771463640166</v>
      </c>
      <c r="K42" s="31">
        <f>(F42/$G$92)*Costs!$B$23</f>
        <v>69.305248326561298</v>
      </c>
      <c r="L42" s="31">
        <f t="shared" si="25"/>
        <v>212.96296296296296</v>
      </c>
      <c r="M42" s="31">
        <f t="shared" si="26"/>
        <v>17.037037037037038</v>
      </c>
      <c r="N42" s="40">
        <v>230</v>
      </c>
      <c r="O42" s="25">
        <f>Table13[[#This Row],[Total Selling Price / Unit (MVR)]]*Table13[[#This Row],[Qty 
(NOS)]]</f>
        <v>920</v>
      </c>
      <c r="P42" s="64">
        <f t="shared" si="18"/>
        <v>920</v>
      </c>
      <c r="Q42" s="64">
        <v>230</v>
      </c>
      <c r="R42" s="64">
        <f t="shared" si="19"/>
        <v>184</v>
      </c>
      <c r="S42" s="7">
        <v>7.14</v>
      </c>
      <c r="T42" s="28">
        <f t="shared" si="20"/>
        <v>157.07999999999998</v>
      </c>
      <c r="U42" s="28">
        <v>440</v>
      </c>
      <c r="V42" s="7">
        <v>20</v>
      </c>
      <c r="W42" s="7">
        <v>2.13</v>
      </c>
      <c r="X42" s="28">
        <f t="shared" si="27"/>
        <v>374.88</v>
      </c>
      <c r="Y42" s="28">
        <v>95</v>
      </c>
      <c r="Z42" s="60">
        <f t="shared" si="21"/>
        <v>93.72</v>
      </c>
      <c r="AA42" s="70">
        <v>46.86</v>
      </c>
      <c r="AB42" s="28">
        <v>47.739999999999995</v>
      </c>
      <c r="AC42" s="28">
        <v>230</v>
      </c>
      <c r="AD42" s="25">
        <f t="shared" si="28"/>
        <v>308.39999999999998</v>
      </c>
      <c r="AE42" s="25">
        <f t="shared" si="7"/>
        <v>333.072</v>
      </c>
      <c r="AF42" s="25">
        <f t="shared" si="29"/>
        <v>1332.288</v>
      </c>
      <c r="AG42" s="25">
        <f t="shared" si="30"/>
        <v>447.18</v>
      </c>
      <c r="AH42" s="25">
        <f t="shared" si="10"/>
        <v>482.95440000000002</v>
      </c>
      <c r="AI42" s="25">
        <f t="shared" si="31"/>
        <v>1931.8176000000001</v>
      </c>
      <c r="AJ42" s="25">
        <f t="shared" si="12"/>
        <v>440</v>
      </c>
      <c r="AK42" s="25">
        <f t="shared" si="13"/>
        <v>475.20000000000005</v>
      </c>
      <c r="AL42" s="25">
        <f t="shared" si="32"/>
        <v>1900.8000000000002</v>
      </c>
      <c r="AM42" s="25">
        <f t="shared" si="33"/>
        <v>638</v>
      </c>
      <c r="AN42" s="25">
        <f t="shared" si="16"/>
        <v>689.04000000000008</v>
      </c>
      <c r="AO42" s="25">
        <f t="shared" si="34"/>
        <v>2756.1600000000003</v>
      </c>
      <c r="AP42" s="22">
        <f>Table13[[#This Row],[Total Selling Price / Unit (MVR)]]/Table13[[#This Row],[CNF / Unit
(MVR)]]</f>
        <v>4.9082373026035002</v>
      </c>
      <c r="AQ42" s="36">
        <f>Table13[[#This Row],[Total Selling Price / Unit (MVR)]]-(Table13[[#This Row],[GST 8%
(MVR)]]+Table13[[#This Row],[Weighted max
expense (MVR)]])</f>
        <v>143.65771463640166</v>
      </c>
      <c r="AR42" s="37">
        <f>Table13[[#This Row],[Profit / Unit (MVR)]]*Table13[[#This Row],[Qty 
(NOS)]]</f>
        <v>574.63085854560666</v>
      </c>
      <c r="AS42"/>
      <c r="AT42"/>
    </row>
    <row r="43" spans="1:46" x14ac:dyDescent="0.25">
      <c r="A43" t="s">
        <v>60</v>
      </c>
      <c r="B43" s="20" t="s">
        <v>124</v>
      </c>
      <c r="C43" s="4">
        <v>4</v>
      </c>
      <c r="D43" s="7">
        <v>2.13</v>
      </c>
      <c r="E43" s="28">
        <v>8.52</v>
      </c>
      <c r="F43" s="28">
        <f t="shared" si="22"/>
        <v>46.86</v>
      </c>
      <c r="G43" s="4">
        <f t="shared" si="23"/>
        <v>187.44</v>
      </c>
      <c r="H43" s="28">
        <v>440</v>
      </c>
      <c r="I43" s="28">
        <v>47.74</v>
      </c>
      <c r="J43" s="39">
        <f t="shared" si="24"/>
        <v>143.65771463640166</v>
      </c>
      <c r="K43" s="30">
        <f>(F43/$G$92)*Costs!$B$23</f>
        <v>69.305248326561298</v>
      </c>
      <c r="L43" s="30">
        <f t="shared" si="25"/>
        <v>212.96296296296296</v>
      </c>
      <c r="M43" s="30">
        <f t="shared" si="26"/>
        <v>17.037037037037038</v>
      </c>
      <c r="N43" s="39">
        <v>230</v>
      </c>
      <c r="O43" s="25">
        <f>Table13[[#This Row],[Total Selling Price / Unit (MVR)]]*Table13[[#This Row],[Qty 
(NOS)]]</f>
        <v>920</v>
      </c>
      <c r="P43" s="64">
        <f t="shared" si="18"/>
        <v>920</v>
      </c>
      <c r="Q43" s="64">
        <v>230</v>
      </c>
      <c r="R43" s="64">
        <f t="shared" si="19"/>
        <v>184</v>
      </c>
      <c r="S43" s="7">
        <v>7.14</v>
      </c>
      <c r="T43" s="28">
        <f t="shared" si="20"/>
        <v>157.07999999999998</v>
      </c>
      <c r="U43" s="28">
        <v>440</v>
      </c>
      <c r="V43" s="7">
        <v>20</v>
      </c>
      <c r="W43" s="7">
        <v>2.13</v>
      </c>
      <c r="X43" s="28">
        <f t="shared" si="27"/>
        <v>374.88</v>
      </c>
      <c r="Y43" s="28">
        <v>95</v>
      </c>
      <c r="Z43" s="60">
        <f t="shared" si="21"/>
        <v>93.72</v>
      </c>
      <c r="AA43" s="69">
        <v>46.86</v>
      </c>
      <c r="AB43" s="28">
        <v>47.74</v>
      </c>
      <c r="AC43" s="28">
        <v>230</v>
      </c>
      <c r="AD43" s="25">
        <f t="shared" si="28"/>
        <v>308.39999999999998</v>
      </c>
      <c r="AE43" s="25">
        <f t="shared" si="7"/>
        <v>333.072</v>
      </c>
      <c r="AF43" s="25">
        <f t="shared" si="29"/>
        <v>1332.288</v>
      </c>
      <c r="AG43" s="25">
        <f t="shared" si="30"/>
        <v>447.18</v>
      </c>
      <c r="AH43" s="25">
        <f t="shared" si="10"/>
        <v>482.95440000000002</v>
      </c>
      <c r="AI43" s="25">
        <f t="shared" si="31"/>
        <v>1931.8176000000001</v>
      </c>
      <c r="AJ43" s="25">
        <f t="shared" si="12"/>
        <v>440</v>
      </c>
      <c r="AK43" s="25">
        <f t="shared" si="13"/>
        <v>475.20000000000005</v>
      </c>
      <c r="AL43" s="25">
        <f t="shared" si="32"/>
        <v>1900.8000000000002</v>
      </c>
      <c r="AM43" s="25">
        <f t="shared" si="33"/>
        <v>638</v>
      </c>
      <c r="AN43" s="25">
        <f t="shared" si="16"/>
        <v>689.04000000000008</v>
      </c>
      <c r="AO43" s="25">
        <f t="shared" si="34"/>
        <v>2756.1600000000003</v>
      </c>
      <c r="AP43" s="22">
        <f>Table13[[#This Row],[Total Selling Price / Unit (MVR)]]/Table13[[#This Row],[CNF / Unit
(MVR)]]</f>
        <v>4.9082373026035002</v>
      </c>
      <c r="AQ43" s="34">
        <f>Table13[[#This Row],[Total Selling Price / Unit (MVR)]]-(Table13[[#This Row],[GST 8%
(MVR)]]+Table13[[#This Row],[Weighted max
expense (MVR)]])</f>
        <v>143.65771463640166</v>
      </c>
      <c r="AR43" s="35">
        <f>Table13[[#This Row],[Profit / Unit (MVR)]]*Table13[[#This Row],[Qty 
(NOS)]]</f>
        <v>574.63085854560666</v>
      </c>
      <c r="AS43"/>
      <c r="AT43"/>
    </row>
    <row r="44" spans="1:46" x14ac:dyDescent="0.25">
      <c r="A44" t="s">
        <v>108</v>
      </c>
      <c r="B44" s="14" t="s">
        <v>118</v>
      </c>
      <c r="C44" s="4">
        <v>4</v>
      </c>
      <c r="D44" s="7">
        <v>12.18</v>
      </c>
      <c r="E44" s="28">
        <v>48.72</v>
      </c>
      <c r="F44" s="28">
        <f t="shared" si="22"/>
        <v>267.95999999999998</v>
      </c>
      <c r="G44" s="4">
        <f t="shared" si="23"/>
        <v>1071.8399999999999</v>
      </c>
      <c r="H44" s="28">
        <v>1956.24</v>
      </c>
      <c r="I44" s="28">
        <v>459.58000000000004</v>
      </c>
      <c r="J44" s="40">
        <f t="shared" si="24"/>
        <v>85.172596684525388</v>
      </c>
      <c r="K44" s="31">
        <f>(F44/$G$92)*Costs!$B$23</f>
        <v>396.30888479695608</v>
      </c>
      <c r="L44" s="31">
        <f t="shared" si="25"/>
        <v>481.48148148148147</v>
      </c>
      <c r="M44" s="31">
        <f t="shared" si="26"/>
        <v>38.518518518518519</v>
      </c>
      <c r="N44" s="40">
        <v>520</v>
      </c>
      <c r="O44" s="25">
        <f>Table13[[#This Row],[Total Selling Price / Unit (MVR)]]*Table13[[#This Row],[Qty 
(NOS)]]</f>
        <v>2080</v>
      </c>
      <c r="P44" s="64">
        <f t="shared" si="18"/>
        <v>3000</v>
      </c>
      <c r="Q44" s="64">
        <v>750</v>
      </c>
      <c r="R44" s="64">
        <f t="shared" si="19"/>
        <v>600</v>
      </c>
      <c r="S44" s="7">
        <v>53.57</v>
      </c>
      <c r="T44" s="28">
        <f t="shared" si="20"/>
        <v>1178.54</v>
      </c>
      <c r="U44" s="28">
        <v>1956.24</v>
      </c>
      <c r="V44" s="7">
        <v>88.92</v>
      </c>
      <c r="W44" s="7">
        <v>12.18</v>
      </c>
      <c r="X44" s="28">
        <f t="shared" si="27"/>
        <v>2143.6799999999998</v>
      </c>
      <c r="Y44" s="28">
        <v>540</v>
      </c>
      <c r="Z44" s="60">
        <f t="shared" si="21"/>
        <v>535.91999999999996</v>
      </c>
      <c r="AA44" s="70">
        <v>267.95999999999998</v>
      </c>
      <c r="AB44" s="28">
        <v>459.58000000000004</v>
      </c>
      <c r="AC44" s="28">
        <v>520</v>
      </c>
      <c r="AD44" s="25">
        <f t="shared" si="28"/>
        <v>1371.1464000000001</v>
      </c>
      <c r="AE44" s="25">
        <f t="shared" si="7"/>
        <v>1480.8381120000001</v>
      </c>
      <c r="AF44" s="25">
        <f t="shared" si="29"/>
        <v>5923.3524480000005</v>
      </c>
      <c r="AG44" s="25">
        <f t="shared" si="30"/>
        <v>1509.9264000000001</v>
      </c>
      <c r="AH44" s="25">
        <f t="shared" si="10"/>
        <v>1630.7205120000001</v>
      </c>
      <c r="AI44" s="25">
        <f t="shared" si="31"/>
        <v>6522.8820480000004</v>
      </c>
      <c r="AJ44" s="25">
        <f t="shared" si="12"/>
        <v>1956.24</v>
      </c>
      <c r="AK44" s="25">
        <f t="shared" si="13"/>
        <v>2112.7392</v>
      </c>
      <c r="AL44" s="25">
        <f t="shared" si="32"/>
        <v>8450.9567999999999</v>
      </c>
      <c r="AM44" s="25">
        <f t="shared" si="33"/>
        <v>2154.2400000000002</v>
      </c>
      <c r="AN44" s="25">
        <f t="shared" si="16"/>
        <v>2326.5792000000006</v>
      </c>
      <c r="AO44" s="25">
        <f t="shared" si="34"/>
        <v>9306.3168000000023</v>
      </c>
      <c r="AP44" s="22">
        <f>Table13[[#This Row],[Total Selling Price / Unit (MVR)]]/Table13[[#This Row],[CNF / Unit
(MVR)]]</f>
        <v>1.9405881474846993</v>
      </c>
      <c r="AQ44" s="36">
        <f>Table13[[#This Row],[Total Selling Price / Unit (MVR)]]-(Table13[[#This Row],[GST 8%
(MVR)]]+Table13[[#This Row],[Weighted max
expense (MVR)]])</f>
        <v>85.172596684525388</v>
      </c>
      <c r="AR44" s="37">
        <f>Table13[[#This Row],[Profit / Unit (MVR)]]*Table13[[#This Row],[Qty 
(NOS)]]</f>
        <v>340.69038673810155</v>
      </c>
      <c r="AS44"/>
      <c r="AT44"/>
    </row>
    <row r="45" spans="1:46" x14ac:dyDescent="0.25">
      <c r="A45" t="s">
        <v>80</v>
      </c>
      <c r="B45" s="14" t="s">
        <v>118</v>
      </c>
      <c r="C45" s="4">
        <v>4</v>
      </c>
      <c r="D45" s="7">
        <v>2.58</v>
      </c>
      <c r="E45" s="28">
        <v>10.32</v>
      </c>
      <c r="F45" s="28">
        <f t="shared" si="22"/>
        <v>56.760000000000005</v>
      </c>
      <c r="G45" s="4">
        <f t="shared" si="23"/>
        <v>227.04000000000002</v>
      </c>
      <c r="H45" s="28">
        <v>391.16</v>
      </c>
      <c r="I45" s="28">
        <v>153.12</v>
      </c>
      <c r="J45" s="39">
        <f t="shared" si="24"/>
        <v>192.90464965348181</v>
      </c>
      <c r="K45" s="30">
        <f>(F45/$G$92)*Costs!$B$23</f>
        <v>83.947202198370036</v>
      </c>
      <c r="L45" s="30">
        <f t="shared" si="25"/>
        <v>276.85185185185185</v>
      </c>
      <c r="M45" s="30">
        <f t="shared" si="26"/>
        <v>22.148148148148149</v>
      </c>
      <c r="N45" s="39">
        <v>299</v>
      </c>
      <c r="O45" s="25">
        <f>Table13[[#This Row],[Total Selling Price / Unit (MVR)]]*Table13[[#This Row],[Qty 
(NOS)]]</f>
        <v>1196</v>
      </c>
      <c r="P45" s="64">
        <f t="shared" si="18"/>
        <v>1000</v>
      </c>
      <c r="Q45" s="64">
        <v>250</v>
      </c>
      <c r="R45" s="64">
        <f t="shared" si="19"/>
        <v>200</v>
      </c>
      <c r="S45" s="7">
        <v>17.14</v>
      </c>
      <c r="T45" s="28">
        <f t="shared" si="20"/>
        <v>377.08000000000004</v>
      </c>
      <c r="U45" s="28">
        <v>391.16</v>
      </c>
      <c r="V45" s="7">
        <v>17.78</v>
      </c>
      <c r="W45" s="7">
        <v>2.58</v>
      </c>
      <c r="X45" s="28">
        <f t="shared" si="27"/>
        <v>454.08000000000004</v>
      </c>
      <c r="Y45" s="28">
        <v>115</v>
      </c>
      <c r="Z45" s="60">
        <f t="shared" si="21"/>
        <v>113.52000000000001</v>
      </c>
      <c r="AA45" s="69">
        <v>56.760000000000005</v>
      </c>
      <c r="AB45" s="28">
        <v>153.12</v>
      </c>
      <c r="AC45" s="28">
        <v>299</v>
      </c>
      <c r="AD45" s="25">
        <f t="shared" si="28"/>
        <v>274.16759999999999</v>
      </c>
      <c r="AE45" s="25">
        <f t="shared" si="7"/>
        <v>296.10100800000004</v>
      </c>
      <c r="AF45" s="25">
        <f t="shared" si="29"/>
        <v>1184.4040320000001</v>
      </c>
      <c r="AG45" s="25">
        <f t="shared" si="30"/>
        <v>412.94760000000002</v>
      </c>
      <c r="AH45" s="25">
        <f t="shared" si="10"/>
        <v>445.98340800000005</v>
      </c>
      <c r="AI45" s="25">
        <f t="shared" si="31"/>
        <v>1783.9336320000002</v>
      </c>
      <c r="AJ45" s="25">
        <f t="shared" si="12"/>
        <v>391.16</v>
      </c>
      <c r="AK45" s="25">
        <f t="shared" si="13"/>
        <v>422.45280000000008</v>
      </c>
      <c r="AL45" s="25">
        <f t="shared" si="32"/>
        <v>1689.8112000000003</v>
      </c>
      <c r="AM45" s="25">
        <f t="shared" si="33"/>
        <v>589.16000000000008</v>
      </c>
      <c r="AN45" s="25">
        <f t="shared" si="16"/>
        <v>636.29280000000017</v>
      </c>
      <c r="AO45" s="25">
        <f t="shared" si="34"/>
        <v>2545.1712000000007</v>
      </c>
      <c r="AP45" s="22">
        <f>Table13[[#This Row],[Total Selling Price / Unit (MVR)]]/Table13[[#This Row],[CNF / Unit
(MVR)]]</f>
        <v>5.2677942212825926</v>
      </c>
      <c r="AQ45" s="34">
        <f>Table13[[#This Row],[Total Selling Price / Unit (MVR)]]-(Table13[[#This Row],[GST 8%
(MVR)]]+Table13[[#This Row],[Weighted max
expense (MVR)]])</f>
        <v>192.90464965348181</v>
      </c>
      <c r="AR45" s="35">
        <f>Table13[[#This Row],[Profit / Unit (MVR)]]*Table13[[#This Row],[Qty 
(NOS)]]</f>
        <v>771.61859861392725</v>
      </c>
      <c r="AS45"/>
      <c r="AT45"/>
    </row>
    <row r="46" spans="1:46" x14ac:dyDescent="0.25">
      <c r="A46" t="s">
        <v>72</v>
      </c>
      <c r="B46" s="14" t="s">
        <v>118</v>
      </c>
      <c r="C46" s="4">
        <v>4</v>
      </c>
      <c r="D46" s="7">
        <v>3.89</v>
      </c>
      <c r="E46" s="28">
        <v>15.56</v>
      </c>
      <c r="F46" s="28">
        <f t="shared" si="22"/>
        <v>85.58</v>
      </c>
      <c r="G46" s="4">
        <f t="shared" si="23"/>
        <v>342.32</v>
      </c>
      <c r="H46" s="28">
        <v>619.52</v>
      </c>
      <c r="I46" s="28">
        <v>181.06</v>
      </c>
      <c r="J46" s="40">
        <f t="shared" si="24"/>
        <v>243.79881356740157</v>
      </c>
      <c r="K46" s="31">
        <f>(F46/$G$92)*Costs!$B$23</f>
        <v>126.57155680296876</v>
      </c>
      <c r="L46" s="31">
        <f t="shared" si="25"/>
        <v>370.37037037037032</v>
      </c>
      <c r="M46" s="31">
        <f t="shared" si="26"/>
        <v>29.629629629629626</v>
      </c>
      <c r="N46" s="40">
        <v>400</v>
      </c>
      <c r="O46" s="25">
        <f>Table13[[#This Row],[Total Selling Price / Unit (MVR)]]*Table13[[#This Row],[Qty 
(NOS)]]</f>
        <v>1600</v>
      </c>
      <c r="P46" s="64">
        <f t="shared" si="18"/>
        <v>1160</v>
      </c>
      <c r="Q46" s="64">
        <v>290</v>
      </c>
      <c r="R46" s="64">
        <f t="shared" si="19"/>
        <v>232</v>
      </c>
      <c r="S46" s="7">
        <v>27.14</v>
      </c>
      <c r="T46" s="28">
        <f t="shared" si="20"/>
        <v>597.08000000000004</v>
      </c>
      <c r="U46" s="28">
        <v>619.52</v>
      </c>
      <c r="V46" s="7">
        <v>28.16</v>
      </c>
      <c r="W46" s="7">
        <v>3.89</v>
      </c>
      <c r="X46" s="28">
        <f t="shared" si="27"/>
        <v>684.64</v>
      </c>
      <c r="Y46" s="28">
        <v>175</v>
      </c>
      <c r="Z46" s="60">
        <f t="shared" si="21"/>
        <v>171.16</v>
      </c>
      <c r="AA46" s="70">
        <v>85.58</v>
      </c>
      <c r="AB46" s="28">
        <v>181.06</v>
      </c>
      <c r="AC46" s="28">
        <v>400</v>
      </c>
      <c r="AD46" s="25">
        <f t="shared" si="28"/>
        <v>434.22719999999998</v>
      </c>
      <c r="AE46" s="25">
        <f t="shared" si="7"/>
        <v>468.96537599999999</v>
      </c>
      <c r="AF46" s="25">
        <f t="shared" si="29"/>
        <v>1875.861504</v>
      </c>
      <c r="AG46" s="25">
        <f t="shared" si="30"/>
        <v>573.0071999999999</v>
      </c>
      <c r="AH46" s="25">
        <f t="shared" si="10"/>
        <v>618.84777599999995</v>
      </c>
      <c r="AI46" s="25">
        <f t="shared" si="31"/>
        <v>2475.3911039999998</v>
      </c>
      <c r="AJ46" s="25">
        <f t="shared" si="12"/>
        <v>619.52</v>
      </c>
      <c r="AK46" s="25">
        <f t="shared" si="13"/>
        <v>669.08159999999998</v>
      </c>
      <c r="AL46" s="25">
        <f t="shared" si="32"/>
        <v>2676.3263999999999</v>
      </c>
      <c r="AM46" s="25">
        <f t="shared" si="33"/>
        <v>817.52</v>
      </c>
      <c r="AN46" s="25">
        <f t="shared" si="16"/>
        <v>882.92160000000001</v>
      </c>
      <c r="AO46" s="25">
        <f t="shared" si="34"/>
        <v>3531.6864</v>
      </c>
      <c r="AP46" s="22">
        <f>Table13[[#This Row],[Total Selling Price / Unit (MVR)]]/Table13[[#This Row],[CNF / Unit
(MVR)]]</f>
        <v>4.6739892498247251</v>
      </c>
      <c r="AQ46" s="36">
        <f>Table13[[#This Row],[Total Selling Price / Unit (MVR)]]-(Table13[[#This Row],[GST 8%
(MVR)]]+Table13[[#This Row],[Weighted max
expense (MVR)]])</f>
        <v>243.79881356740162</v>
      </c>
      <c r="AR46" s="37">
        <f>Table13[[#This Row],[Profit / Unit (MVR)]]*Table13[[#This Row],[Qty 
(NOS)]]</f>
        <v>975.19525426960649</v>
      </c>
      <c r="AS46"/>
      <c r="AT46"/>
    </row>
    <row r="47" spans="1:46" x14ac:dyDescent="0.25">
      <c r="A47" t="s">
        <v>31</v>
      </c>
      <c r="B47" s="14" t="s">
        <v>118</v>
      </c>
      <c r="C47" s="4">
        <v>5</v>
      </c>
      <c r="D47" s="7">
        <v>3.89</v>
      </c>
      <c r="E47" s="28">
        <v>27.23</v>
      </c>
      <c r="F47" s="28">
        <f t="shared" si="22"/>
        <v>85.58</v>
      </c>
      <c r="G47" s="4">
        <f t="shared" si="23"/>
        <v>427.9</v>
      </c>
      <c r="H47" s="28">
        <v>619.52</v>
      </c>
      <c r="I47" s="28">
        <v>181.06</v>
      </c>
      <c r="J47" s="39">
        <f t="shared" si="24"/>
        <v>206.76177653036456</v>
      </c>
      <c r="K47" s="30">
        <f>(F47/$G$92)*Costs!$B$23</f>
        <v>126.57155680296876</v>
      </c>
      <c r="L47" s="30">
        <f t="shared" si="25"/>
        <v>333.33333333333331</v>
      </c>
      <c r="M47" s="30">
        <f t="shared" si="26"/>
        <v>26.666666666666664</v>
      </c>
      <c r="N47" s="39">
        <v>360</v>
      </c>
      <c r="O47" s="25">
        <f>Table13[[#This Row],[Total Selling Price / Unit (MVR)]]*Table13[[#This Row],[Qty 
(NOS)]]</f>
        <v>1800</v>
      </c>
      <c r="P47" s="64">
        <f t="shared" si="18"/>
        <v>1450</v>
      </c>
      <c r="Q47" s="64">
        <v>290</v>
      </c>
      <c r="R47" s="64">
        <f t="shared" si="19"/>
        <v>232</v>
      </c>
      <c r="S47" s="7">
        <v>27.14</v>
      </c>
      <c r="T47" s="28">
        <f t="shared" si="20"/>
        <v>597.08000000000004</v>
      </c>
      <c r="U47" s="28">
        <v>619.52</v>
      </c>
      <c r="V47" s="7">
        <v>28.16</v>
      </c>
      <c r="W47" s="7">
        <v>3.89</v>
      </c>
      <c r="X47" s="28">
        <f t="shared" si="27"/>
        <v>855.8</v>
      </c>
      <c r="Y47" s="28">
        <v>175</v>
      </c>
      <c r="Z47" s="60">
        <f t="shared" si="21"/>
        <v>171.16</v>
      </c>
      <c r="AA47" s="69">
        <v>85.58</v>
      </c>
      <c r="AB47" s="28">
        <v>181.06</v>
      </c>
      <c r="AC47" s="28">
        <v>360</v>
      </c>
      <c r="AD47" s="25">
        <f t="shared" si="28"/>
        <v>434.22719999999998</v>
      </c>
      <c r="AE47" s="25">
        <f t="shared" si="7"/>
        <v>468.96537599999999</v>
      </c>
      <c r="AF47" s="25">
        <f t="shared" si="29"/>
        <v>2344.8268800000001</v>
      </c>
      <c r="AG47" s="25">
        <f t="shared" si="30"/>
        <v>573.0071999999999</v>
      </c>
      <c r="AH47" s="25">
        <f t="shared" si="10"/>
        <v>618.84777599999995</v>
      </c>
      <c r="AI47" s="25">
        <f t="shared" si="31"/>
        <v>3094.2388799999999</v>
      </c>
      <c r="AJ47" s="25">
        <f t="shared" si="12"/>
        <v>619.52</v>
      </c>
      <c r="AK47" s="25">
        <f t="shared" si="13"/>
        <v>669.08159999999998</v>
      </c>
      <c r="AL47" s="25">
        <f t="shared" si="32"/>
        <v>3345.4079999999999</v>
      </c>
      <c r="AM47" s="25">
        <f t="shared" si="33"/>
        <v>817.52</v>
      </c>
      <c r="AN47" s="25">
        <f t="shared" si="16"/>
        <v>882.92160000000001</v>
      </c>
      <c r="AO47" s="25">
        <f t="shared" si="34"/>
        <v>4414.6080000000002</v>
      </c>
      <c r="AP47" s="22">
        <f>Table13[[#This Row],[Total Selling Price / Unit (MVR)]]/Table13[[#This Row],[CNF / Unit
(MVR)]]</f>
        <v>4.2065903248422529</v>
      </c>
      <c r="AQ47" s="34">
        <f>Table13[[#This Row],[Total Selling Price / Unit (MVR)]]-(Table13[[#This Row],[GST 8%
(MVR)]]+Table13[[#This Row],[Weighted max
expense (MVR)]])</f>
        <v>206.76177653036459</v>
      </c>
      <c r="AR47" s="35">
        <f>Table13[[#This Row],[Profit / Unit (MVR)]]*Table13[[#This Row],[Qty 
(NOS)]]</f>
        <v>1033.8088826518228</v>
      </c>
      <c r="AS47"/>
      <c r="AT47"/>
    </row>
    <row r="48" spans="1:46" x14ac:dyDescent="0.25">
      <c r="A48" t="s">
        <v>104</v>
      </c>
      <c r="B48" s="14" t="s">
        <v>118</v>
      </c>
      <c r="C48" s="4">
        <v>4</v>
      </c>
      <c r="D48" s="7">
        <v>3.89</v>
      </c>
      <c r="E48" s="28">
        <v>15.56</v>
      </c>
      <c r="F48" s="28">
        <f t="shared" si="22"/>
        <v>85.58</v>
      </c>
      <c r="G48" s="4">
        <f t="shared" si="23"/>
        <v>342.32</v>
      </c>
      <c r="H48" s="28">
        <v>619.52</v>
      </c>
      <c r="I48" s="28">
        <v>181.06</v>
      </c>
      <c r="J48" s="40">
        <f t="shared" si="24"/>
        <v>294.72473949332749</v>
      </c>
      <c r="K48" s="31">
        <f>(F48/$G$92)*Costs!$B$23</f>
        <v>126.57155680296876</v>
      </c>
      <c r="L48" s="31">
        <f t="shared" si="25"/>
        <v>421.29629629629625</v>
      </c>
      <c r="M48" s="31">
        <f t="shared" si="26"/>
        <v>33.703703703703702</v>
      </c>
      <c r="N48" s="40">
        <v>455</v>
      </c>
      <c r="O48" s="25">
        <f>Table13[[#This Row],[Total Selling Price / Unit (MVR)]]*Table13[[#This Row],[Qty 
(NOS)]]</f>
        <v>1820</v>
      </c>
      <c r="P48" s="64">
        <f t="shared" si="18"/>
        <v>1160</v>
      </c>
      <c r="Q48" s="64">
        <v>290</v>
      </c>
      <c r="R48" s="64">
        <f t="shared" si="19"/>
        <v>232</v>
      </c>
      <c r="S48" s="7">
        <v>27.14</v>
      </c>
      <c r="T48" s="28">
        <f t="shared" si="20"/>
        <v>597.08000000000004</v>
      </c>
      <c r="U48" s="28">
        <v>619.52</v>
      </c>
      <c r="V48" s="7">
        <v>28.16</v>
      </c>
      <c r="W48" s="7">
        <v>3.89</v>
      </c>
      <c r="X48" s="28">
        <f t="shared" si="27"/>
        <v>684.64</v>
      </c>
      <c r="Y48" s="28">
        <v>175</v>
      </c>
      <c r="Z48" s="60">
        <f t="shared" si="21"/>
        <v>171.16</v>
      </c>
      <c r="AA48" s="70">
        <v>85.58</v>
      </c>
      <c r="AB48" s="28">
        <v>181.06</v>
      </c>
      <c r="AC48" s="28">
        <v>455</v>
      </c>
      <c r="AD48" s="25">
        <f t="shared" si="28"/>
        <v>434.22719999999998</v>
      </c>
      <c r="AE48" s="25">
        <f t="shared" si="7"/>
        <v>468.96537599999999</v>
      </c>
      <c r="AF48" s="25">
        <f t="shared" si="29"/>
        <v>1875.861504</v>
      </c>
      <c r="AG48" s="25">
        <f t="shared" si="30"/>
        <v>573.0071999999999</v>
      </c>
      <c r="AH48" s="25">
        <f t="shared" si="10"/>
        <v>618.84777599999995</v>
      </c>
      <c r="AI48" s="25">
        <f t="shared" si="31"/>
        <v>2475.3911039999998</v>
      </c>
      <c r="AJ48" s="25">
        <f t="shared" si="12"/>
        <v>619.52</v>
      </c>
      <c r="AK48" s="25">
        <f t="shared" si="13"/>
        <v>669.08159999999998</v>
      </c>
      <c r="AL48" s="25">
        <f t="shared" si="32"/>
        <v>2676.3263999999999</v>
      </c>
      <c r="AM48" s="25">
        <f t="shared" si="33"/>
        <v>817.52</v>
      </c>
      <c r="AN48" s="25">
        <f t="shared" si="16"/>
        <v>882.92160000000001</v>
      </c>
      <c r="AO48" s="25">
        <f t="shared" si="34"/>
        <v>3531.6864</v>
      </c>
      <c r="AP48" s="22">
        <f>Table13[[#This Row],[Total Selling Price / Unit (MVR)]]/Table13[[#This Row],[CNF / Unit
(MVR)]]</f>
        <v>5.3166627716756256</v>
      </c>
      <c r="AQ48" s="36">
        <f>Table13[[#This Row],[Total Selling Price / Unit (MVR)]]-(Table13[[#This Row],[GST 8%
(MVR)]]+Table13[[#This Row],[Weighted max
expense (MVR)]])</f>
        <v>294.72473949332755</v>
      </c>
      <c r="AR48" s="37">
        <f>Table13[[#This Row],[Profit / Unit (MVR)]]*Table13[[#This Row],[Qty 
(NOS)]]</f>
        <v>1178.8989579733102</v>
      </c>
      <c r="AS48"/>
      <c r="AT48"/>
    </row>
    <row r="49" spans="1:46" x14ac:dyDescent="0.25">
      <c r="A49" t="s">
        <v>32</v>
      </c>
      <c r="B49" s="14" t="s">
        <v>118</v>
      </c>
      <c r="C49" s="4">
        <v>7</v>
      </c>
      <c r="D49" s="7">
        <v>3.89</v>
      </c>
      <c r="E49" s="28">
        <v>27.23</v>
      </c>
      <c r="F49" s="28">
        <f t="shared" si="22"/>
        <v>85.58</v>
      </c>
      <c r="G49" s="4">
        <f t="shared" si="23"/>
        <v>599.05999999999995</v>
      </c>
      <c r="H49" s="28">
        <v>619.52</v>
      </c>
      <c r="I49" s="28">
        <v>181.06</v>
      </c>
      <c r="J49" s="39">
        <f t="shared" si="24"/>
        <v>206.76177653036456</v>
      </c>
      <c r="K49" s="30">
        <f>(F49/$G$92)*Costs!$B$23</f>
        <v>126.57155680296876</v>
      </c>
      <c r="L49" s="30">
        <f t="shared" si="25"/>
        <v>333.33333333333331</v>
      </c>
      <c r="M49" s="30">
        <f t="shared" si="26"/>
        <v>26.666666666666664</v>
      </c>
      <c r="N49" s="39">
        <v>360</v>
      </c>
      <c r="O49" s="25">
        <f>Table13[[#This Row],[Total Selling Price / Unit (MVR)]]*Table13[[#This Row],[Qty 
(NOS)]]</f>
        <v>2520</v>
      </c>
      <c r="P49" s="64">
        <f t="shared" si="18"/>
        <v>2030</v>
      </c>
      <c r="Q49" s="64">
        <v>290</v>
      </c>
      <c r="R49" s="64">
        <f t="shared" si="19"/>
        <v>232</v>
      </c>
      <c r="S49" s="7">
        <v>27.14</v>
      </c>
      <c r="T49" s="28">
        <f t="shared" si="20"/>
        <v>597.08000000000004</v>
      </c>
      <c r="U49" s="28">
        <v>619.52</v>
      </c>
      <c r="V49" s="7">
        <v>28.16</v>
      </c>
      <c r="W49" s="7">
        <v>3.89</v>
      </c>
      <c r="X49" s="28">
        <f t="shared" si="27"/>
        <v>1198.1199999999999</v>
      </c>
      <c r="Y49" s="28">
        <v>175</v>
      </c>
      <c r="Z49" s="60">
        <f t="shared" si="21"/>
        <v>171.16</v>
      </c>
      <c r="AA49" s="69">
        <v>85.58</v>
      </c>
      <c r="AB49" s="28">
        <v>181.06</v>
      </c>
      <c r="AC49" s="28">
        <v>360</v>
      </c>
      <c r="AD49" s="25">
        <f t="shared" si="28"/>
        <v>434.22719999999998</v>
      </c>
      <c r="AE49" s="25">
        <f t="shared" si="7"/>
        <v>468.96537599999999</v>
      </c>
      <c r="AF49" s="25">
        <f t="shared" si="29"/>
        <v>3282.7576319999998</v>
      </c>
      <c r="AG49" s="25">
        <f t="shared" si="30"/>
        <v>573.0071999999999</v>
      </c>
      <c r="AH49" s="25">
        <f t="shared" si="10"/>
        <v>618.84777599999995</v>
      </c>
      <c r="AI49" s="25">
        <f t="shared" si="31"/>
        <v>4331.934432</v>
      </c>
      <c r="AJ49" s="25">
        <f t="shared" si="12"/>
        <v>619.52</v>
      </c>
      <c r="AK49" s="25">
        <f t="shared" si="13"/>
        <v>669.08159999999998</v>
      </c>
      <c r="AL49" s="25">
        <f t="shared" si="32"/>
        <v>4683.5712000000003</v>
      </c>
      <c r="AM49" s="25">
        <f t="shared" si="33"/>
        <v>817.52</v>
      </c>
      <c r="AN49" s="25">
        <f t="shared" si="16"/>
        <v>882.92160000000001</v>
      </c>
      <c r="AO49" s="25">
        <f t="shared" si="34"/>
        <v>6180.4512000000004</v>
      </c>
      <c r="AP49" s="22">
        <f>Table13[[#This Row],[Total Selling Price / Unit (MVR)]]/Table13[[#This Row],[CNF / Unit
(MVR)]]</f>
        <v>4.2065903248422529</v>
      </c>
      <c r="AQ49" s="34">
        <f>Table13[[#This Row],[Total Selling Price / Unit (MVR)]]-(Table13[[#This Row],[GST 8%
(MVR)]]+Table13[[#This Row],[Weighted max
expense (MVR)]])</f>
        <v>206.76177653036459</v>
      </c>
      <c r="AR49" s="35">
        <f>Table13[[#This Row],[Profit / Unit (MVR)]]*Table13[[#This Row],[Qty 
(NOS)]]</f>
        <v>1447.3324357125521</v>
      </c>
      <c r="AS49"/>
      <c r="AT49"/>
    </row>
    <row r="50" spans="1:46" x14ac:dyDescent="0.25">
      <c r="A50" t="s">
        <v>106</v>
      </c>
      <c r="B50" s="14" t="s">
        <v>118</v>
      </c>
      <c r="C50" s="4">
        <v>4</v>
      </c>
      <c r="D50" s="7">
        <v>9.0399999999999991</v>
      </c>
      <c r="E50" s="28">
        <v>36.159999999999997</v>
      </c>
      <c r="F50" s="28">
        <f t="shared" si="22"/>
        <v>198.88</v>
      </c>
      <c r="G50" s="4">
        <f t="shared" si="23"/>
        <v>795.52</v>
      </c>
      <c r="H50" s="28">
        <v>570.68000000000006</v>
      </c>
      <c r="I50" s="28">
        <v>453.41999999999996</v>
      </c>
      <c r="J50" s="40">
        <f t="shared" si="24"/>
        <v>150.30385999744249</v>
      </c>
      <c r="K50" s="31">
        <f>(F50/$G$92)*Costs!$B$23</f>
        <v>294.14058444700191</v>
      </c>
      <c r="L50" s="31">
        <f t="shared" si="25"/>
        <v>444.4444444444444</v>
      </c>
      <c r="M50" s="31">
        <f t="shared" si="26"/>
        <v>35.55555555555555</v>
      </c>
      <c r="N50" s="40">
        <v>480</v>
      </c>
      <c r="O50" s="25">
        <f>Table13[[#This Row],[Total Selling Price / Unit (MVR)]]*Table13[[#This Row],[Qty 
(NOS)]]</f>
        <v>1920</v>
      </c>
      <c r="P50" s="64">
        <f t="shared" si="18"/>
        <v>1920</v>
      </c>
      <c r="Q50" s="64">
        <v>480</v>
      </c>
      <c r="R50" s="64">
        <f t="shared" si="19"/>
        <v>384</v>
      </c>
      <c r="S50" s="7">
        <v>25</v>
      </c>
      <c r="T50" s="28">
        <f t="shared" si="20"/>
        <v>550</v>
      </c>
      <c r="U50" s="28">
        <v>570.68000000000006</v>
      </c>
      <c r="V50" s="7">
        <v>25.94</v>
      </c>
      <c r="W50" s="7">
        <v>9.0399999999999991</v>
      </c>
      <c r="X50" s="28">
        <f t="shared" si="27"/>
        <v>1591.04</v>
      </c>
      <c r="Y50" s="28">
        <v>400</v>
      </c>
      <c r="Z50" s="60">
        <f t="shared" si="21"/>
        <v>397.76</v>
      </c>
      <c r="AA50" s="70">
        <v>198.88</v>
      </c>
      <c r="AB50" s="28">
        <v>453.41999999999996</v>
      </c>
      <c r="AC50" s="28">
        <v>480</v>
      </c>
      <c r="AD50" s="25">
        <f t="shared" si="28"/>
        <v>399.9948</v>
      </c>
      <c r="AE50" s="25">
        <f t="shared" si="7"/>
        <v>431.99438400000003</v>
      </c>
      <c r="AF50" s="25">
        <f t="shared" si="29"/>
        <v>1727.9775360000001</v>
      </c>
      <c r="AG50" s="25">
        <f t="shared" si="30"/>
        <v>538.77479999999991</v>
      </c>
      <c r="AH50" s="25">
        <f t="shared" si="10"/>
        <v>581.87678399999993</v>
      </c>
      <c r="AI50" s="25">
        <f t="shared" si="31"/>
        <v>2327.5071359999997</v>
      </c>
      <c r="AJ50" s="25">
        <f t="shared" si="12"/>
        <v>570.68000000000006</v>
      </c>
      <c r="AK50" s="25">
        <f t="shared" si="13"/>
        <v>616.33440000000007</v>
      </c>
      <c r="AL50" s="25">
        <f t="shared" si="32"/>
        <v>2465.3376000000003</v>
      </c>
      <c r="AM50" s="25">
        <f t="shared" si="33"/>
        <v>768.68</v>
      </c>
      <c r="AN50" s="25">
        <f t="shared" si="16"/>
        <v>830.17439999999999</v>
      </c>
      <c r="AO50" s="25">
        <f t="shared" si="34"/>
        <v>3320.6976</v>
      </c>
      <c r="AP50" s="22">
        <f>Table13[[#This Row],[Total Selling Price / Unit (MVR)]]/Table13[[#This Row],[CNF / Unit
(MVR)]]</f>
        <v>2.4135156878519712</v>
      </c>
      <c r="AQ50" s="36">
        <f>Table13[[#This Row],[Total Selling Price / Unit (MVR)]]-(Table13[[#This Row],[GST 8%
(MVR)]]+Table13[[#This Row],[Weighted max
expense (MVR)]])</f>
        <v>150.30385999744254</v>
      </c>
      <c r="AR50" s="37">
        <f>Table13[[#This Row],[Profit / Unit (MVR)]]*Table13[[#This Row],[Qty 
(NOS)]]</f>
        <v>601.21543998977018</v>
      </c>
      <c r="AS50"/>
      <c r="AT50"/>
    </row>
    <row r="51" spans="1:46" x14ac:dyDescent="0.25">
      <c r="A51" t="s">
        <v>107</v>
      </c>
      <c r="B51" s="14" t="s">
        <v>118</v>
      </c>
      <c r="C51" s="4">
        <v>4</v>
      </c>
      <c r="D51" s="7">
        <v>9.94</v>
      </c>
      <c r="E51" s="28">
        <v>39.76</v>
      </c>
      <c r="F51" s="28">
        <f t="shared" si="22"/>
        <v>218.67999999999998</v>
      </c>
      <c r="G51" s="4">
        <f t="shared" si="23"/>
        <v>874.71999999999991</v>
      </c>
      <c r="H51" s="28">
        <v>1450.9</v>
      </c>
      <c r="I51" s="28">
        <v>381.91999999999996</v>
      </c>
      <c r="J51" s="39">
        <f t="shared" si="24"/>
        <v>46.945878179750991</v>
      </c>
      <c r="K51" s="30">
        <f>(F51/$G$92)*Costs!$B$23</f>
        <v>323.42449219061933</v>
      </c>
      <c r="L51" s="30">
        <f t="shared" si="25"/>
        <v>370.37037037037032</v>
      </c>
      <c r="M51" s="30">
        <f t="shared" si="26"/>
        <v>29.629629629629626</v>
      </c>
      <c r="N51" s="39">
        <v>400</v>
      </c>
      <c r="O51" s="25">
        <f>Table13[[#This Row],[Total Selling Price / Unit (MVR)]]*Table13[[#This Row],[Qty 
(NOS)]]</f>
        <v>1600</v>
      </c>
      <c r="P51" s="64">
        <f t="shared" si="18"/>
        <v>2000</v>
      </c>
      <c r="Q51" s="64">
        <v>500</v>
      </c>
      <c r="R51" s="64">
        <f t="shared" si="19"/>
        <v>400</v>
      </c>
      <c r="S51" s="7">
        <v>63.57</v>
      </c>
      <c r="T51" s="28">
        <f t="shared" si="20"/>
        <v>1398.54</v>
      </c>
      <c r="U51" s="28">
        <v>1450.9</v>
      </c>
      <c r="V51" s="7">
        <v>65.95</v>
      </c>
      <c r="W51" s="7">
        <v>9.94</v>
      </c>
      <c r="X51" s="28">
        <f t="shared" si="27"/>
        <v>1749.4399999999998</v>
      </c>
      <c r="Y51" s="28">
        <v>440</v>
      </c>
      <c r="Z51" s="60">
        <f t="shared" si="21"/>
        <v>437.35999999999996</v>
      </c>
      <c r="AA51" s="69">
        <v>218.67999999999998</v>
      </c>
      <c r="AB51" s="28">
        <v>381.91999999999996</v>
      </c>
      <c r="AC51" s="28">
        <v>400</v>
      </c>
      <c r="AD51" s="25">
        <f t="shared" si="28"/>
        <v>1016.9490000000001</v>
      </c>
      <c r="AE51" s="25">
        <f t="shared" si="7"/>
        <v>1098.30492</v>
      </c>
      <c r="AF51" s="25">
        <f t="shared" si="29"/>
        <v>4393.2196800000002</v>
      </c>
      <c r="AG51" s="25">
        <f t="shared" si="30"/>
        <v>1155.729</v>
      </c>
      <c r="AH51" s="25">
        <f t="shared" si="10"/>
        <v>1248.1873200000002</v>
      </c>
      <c r="AI51" s="25">
        <f t="shared" si="31"/>
        <v>4992.7492800000009</v>
      </c>
      <c r="AJ51" s="25">
        <f t="shared" si="12"/>
        <v>1450.9</v>
      </c>
      <c r="AK51" s="25">
        <f t="shared" si="13"/>
        <v>1566.9720000000002</v>
      </c>
      <c r="AL51" s="25">
        <f t="shared" si="32"/>
        <v>6267.8880000000008</v>
      </c>
      <c r="AM51" s="25">
        <f t="shared" si="33"/>
        <v>1648.9</v>
      </c>
      <c r="AN51" s="25">
        <f t="shared" si="16"/>
        <v>1780.8120000000001</v>
      </c>
      <c r="AO51" s="25">
        <f t="shared" si="34"/>
        <v>7123.2480000000005</v>
      </c>
      <c r="AP51" s="22">
        <f>Table13[[#This Row],[Total Selling Price / Unit (MVR)]]/Table13[[#This Row],[CNF / Unit
(MVR)]]</f>
        <v>1.8291567587342237</v>
      </c>
      <c r="AQ51" s="34">
        <f>Table13[[#This Row],[Total Selling Price / Unit (MVR)]]-(Table13[[#This Row],[GST 8%
(MVR)]]+Table13[[#This Row],[Weighted max
expense (MVR)]])</f>
        <v>46.945878179751048</v>
      </c>
      <c r="AR51" s="35">
        <f>Table13[[#This Row],[Profit / Unit (MVR)]]*Table13[[#This Row],[Qty 
(NOS)]]</f>
        <v>187.78351271900419</v>
      </c>
      <c r="AS51"/>
      <c r="AT51"/>
    </row>
    <row r="52" spans="1:46" x14ac:dyDescent="0.25">
      <c r="A52" t="s">
        <v>79</v>
      </c>
      <c r="B52" s="14" t="s">
        <v>118</v>
      </c>
      <c r="C52" s="4">
        <v>4</v>
      </c>
      <c r="D52" s="7">
        <v>9.94</v>
      </c>
      <c r="E52" s="28">
        <v>39.76</v>
      </c>
      <c r="F52" s="28">
        <f t="shared" si="22"/>
        <v>218.67999999999998</v>
      </c>
      <c r="G52" s="4">
        <f t="shared" si="23"/>
        <v>874.71999999999991</v>
      </c>
      <c r="H52" s="28">
        <v>1450.9</v>
      </c>
      <c r="I52" s="28">
        <v>339.46</v>
      </c>
      <c r="J52" s="40">
        <f t="shared" si="24"/>
        <v>46.945878179750991</v>
      </c>
      <c r="K52" s="31">
        <f>(F52/$G$92)*Costs!$B$23</f>
        <v>323.42449219061933</v>
      </c>
      <c r="L52" s="31">
        <f t="shared" si="25"/>
        <v>370.37037037037032</v>
      </c>
      <c r="M52" s="31">
        <f t="shared" si="26"/>
        <v>29.629629629629626</v>
      </c>
      <c r="N52" s="40">
        <v>400</v>
      </c>
      <c r="O52" s="25">
        <f>Table13[[#This Row],[Total Selling Price / Unit (MVR)]]*Table13[[#This Row],[Qty 
(NOS)]]</f>
        <v>1600</v>
      </c>
      <c r="P52" s="64">
        <f t="shared" si="18"/>
        <v>2000</v>
      </c>
      <c r="Q52" s="64">
        <v>500</v>
      </c>
      <c r="R52" s="64">
        <f t="shared" si="19"/>
        <v>400</v>
      </c>
      <c r="S52" s="7">
        <v>63.57</v>
      </c>
      <c r="T52" s="28">
        <f t="shared" si="20"/>
        <v>1398.54</v>
      </c>
      <c r="U52" s="28">
        <v>1450.9</v>
      </c>
      <c r="V52" s="7">
        <v>65.95</v>
      </c>
      <c r="W52" s="7">
        <v>9.94</v>
      </c>
      <c r="X52" s="28">
        <f t="shared" si="27"/>
        <v>1749.4399999999998</v>
      </c>
      <c r="Y52" s="28">
        <v>440</v>
      </c>
      <c r="Z52" s="60">
        <f t="shared" si="21"/>
        <v>437.35999999999996</v>
      </c>
      <c r="AA52" s="70">
        <v>218.67999999999998</v>
      </c>
      <c r="AB52" s="28">
        <v>339.46</v>
      </c>
      <c r="AC52" s="28">
        <v>400</v>
      </c>
      <c r="AD52" s="25">
        <f t="shared" si="28"/>
        <v>1016.9490000000001</v>
      </c>
      <c r="AE52" s="25">
        <f t="shared" si="7"/>
        <v>1098.30492</v>
      </c>
      <c r="AF52" s="25">
        <f t="shared" si="29"/>
        <v>4393.2196800000002</v>
      </c>
      <c r="AG52" s="25">
        <f t="shared" si="30"/>
        <v>1155.729</v>
      </c>
      <c r="AH52" s="25">
        <f t="shared" si="10"/>
        <v>1248.1873200000002</v>
      </c>
      <c r="AI52" s="25">
        <f t="shared" si="31"/>
        <v>4992.7492800000009</v>
      </c>
      <c r="AJ52" s="25">
        <f t="shared" si="12"/>
        <v>1450.9</v>
      </c>
      <c r="AK52" s="25">
        <f t="shared" si="13"/>
        <v>1566.9720000000002</v>
      </c>
      <c r="AL52" s="25">
        <f t="shared" si="32"/>
        <v>6267.8880000000008</v>
      </c>
      <c r="AM52" s="25">
        <f t="shared" si="33"/>
        <v>1648.9</v>
      </c>
      <c r="AN52" s="25">
        <f t="shared" si="16"/>
        <v>1780.8120000000001</v>
      </c>
      <c r="AO52" s="25">
        <f t="shared" si="34"/>
        <v>7123.2480000000005</v>
      </c>
      <c r="AP52" s="22">
        <f>Table13[[#This Row],[Total Selling Price / Unit (MVR)]]/Table13[[#This Row],[CNF / Unit
(MVR)]]</f>
        <v>1.8291567587342237</v>
      </c>
      <c r="AQ52" s="36">
        <f>Table13[[#This Row],[Total Selling Price / Unit (MVR)]]-(Table13[[#This Row],[GST 8%
(MVR)]]+Table13[[#This Row],[Weighted max
expense (MVR)]])</f>
        <v>46.945878179751048</v>
      </c>
      <c r="AR52" s="37">
        <f>Table13[[#This Row],[Profit / Unit (MVR)]]*Table13[[#This Row],[Qty 
(NOS)]]</f>
        <v>187.78351271900419</v>
      </c>
      <c r="AS52"/>
      <c r="AT52"/>
    </row>
    <row r="53" spans="1:46" x14ac:dyDescent="0.25">
      <c r="A53" t="s">
        <v>35</v>
      </c>
      <c r="B53" s="14" t="s">
        <v>118</v>
      </c>
      <c r="C53" s="4">
        <v>7</v>
      </c>
      <c r="D53" s="7">
        <v>1.04</v>
      </c>
      <c r="E53" s="28">
        <v>7.28</v>
      </c>
      <c r="F53" s="28">
        <f t="shared" si="22"/>
        <v>22.880000000000003</v>
      </c>
      <c r="G53" s="4">
        <f t="shared" si="23"/>
        <v>160.16000000000003</v>
      </c>
      <c r="H53" s="28">
        <v>195.58</v>
      </c>
      <c r="I53" s="28">
        <v>77.66</v>
      </c>
      <c r="J53" s="39">
        <f t="shared" si="24"/>
        <v>86.531188088856865</v>
      </c>
      <c r="K53" s="30">
        <f>(F53/$G$92)*Costs!$B$23</f>
        <v>33.839182281513501</v>
      </c>
      <c r="L53" s="30">
        <f t="shared" si="25"/>
        <v>120.37037037037037</v>
      </c>
      <c r="M53" s="30">
        <f t="shared" si="26"/>
        <v>9.6296296296296298</v>
      </c>
      <c r="N53" s="39">
        <v>130</v>
      </c>
      <c r="O53" s="25">
        <f>Table13[[#This Row],[Total Selling Price / Unit (MVR)]]*Table13[[#This Row],[Qty 
(NOS)]]</f>
        <v>910</v>
      </c>
      <c r="P53" s="64">
        <f t="shared" si="18"/>
        <v>910</v>
      </c>
      <c r="Q53" s="64">
        <v>130</v>
      </c>
      <c r="R53" s="64">
        <f t="shared" si="19"/>
        <v>104</v>
      </c>
      <c r="S53" s="7">
        <v>8.57</v>
      </c>
      <c r="T53" s="28">
        <f t="shared" si="20"/>
        <v>188.54000000000002</v>
      </c>
      <c r="U53" s="28">
        <v>195.58</v>
      </c>
      <c r="V53" s="7">
        <v>8.89</v>
      </c>
      <c r="W53" s="7">
        <v>1.04</v>
      </c>
      <c r="X53" s="28">
        <f t="shared" si="27"/>
        <v>320.32000000000005</v>
      </c>
      <c r="Y53" s="28">
        <v>50</v>
      </c>
      <c r="Z53" s="60">
        <f t="shared" si="21"/>
        <v>45.760000000000005</v>
      </c>
      <c r="AA53" s="69">
        <v>22.880000000000003</v>
      </c>
      <c r="AB53" s="28">
        <v>77.66</v>
      </c>
      <c r="AC53" s="28">
        <v>130</v>
      </c>
      <c r="AD53" s="25">
        <f t="shared" si="28"/>
        <v>137.0838</v>
      </c>
      <c r="AE53" s="25">
        <f t="shared" si="7"/>
        <v>148.05050400000002</v>
      </c>
      <c r="AF53" s="25">
        <f t="shared" si="29"/>
        <v>1036.3535280000001</v>
      </c>
      <c r="AG53" s="25">
        <f t="shared" si="30"/>
        <v>275.86380000000003</v>
      </c>
      <c r="AH53" s="25">
        <f t="shared" si="10"/>
        <v>297.93290400000006</v>
      </c>
      <c r="AI53" s="25">
        <f t="shared" si="31"/>
        <v>2085.5303280000003</v>
      </c>
      <c r="AJ53" s="25">
        <f t="shared" si="12"/>
        <v>195.58</v>
      </c>
      <c r="AK53" s="25">
        <f t="shared" si="13"/>
        <v>211.22640000000004</v>
      </c>
      <c r="AL53" s="25">
        <f t="shared" si="32"/>
        <v>1478.5848000000003</v>
      </c>
      <c r="AM53" s="25">
        <f t="shared" si="33"/>
        <v>393.58000000000004</v>
      </c>
      <c r="AN53" s="25">
        <f t="shared" si="16"/>
        <v>425.06640000000004</v>
      </c>
      <c r="AO53" s="25">
        <f t="shared" si="34"/>
        <v>2975.4648000000002</v>
      </c>
      <c r="AP53" s="22">
        <f>Table13[[#This Row],[Total Selling Price / Unit (MVR)]]/Table13[[#This Row],[CNF / Unit
(MVR)]]</f>
        <v>5.6818181818181808</v>
      </c>
      <c r="AQ53" s="34">
        <f>Table13[[#This Row],[Total Selling Price / Unit (MVR)]]-(Table13[[#This Row],[GST 8%
(MVR)]]+Table13[[#This Row],[Weighted max
expense (MVR)]])</f>
        <v>86.531188088856865</v>
      </c>
      <c r="AR53" s="35">
        <f>Table13[[#This Row],[Profit / Unit (MVR)]]*Table13[[#This Row],[Qty 
(NOS)]]</f>
        <v>605.71831662199804</v>
      </c>
      <c r="AS53"/>
      <c r="AT53"/>
    </row>
    <row r="54" spans="1:46" x14ac:dyDescent="0.25">
      <c r="A54" t="s">
        <v>34</v>
      </c>
      <c r="B54" s="14" t="s">
        <v>118</v>
      </c>
      <c r="C54" s="4">
        <v>7</v>
      </c>
      <c r="D54" s="7">
        <v>4.7699999999999996</v>
      </c>
      <c r="E54" s="28">
        <v>33.39</v>
      </c>
      <c r="F54" s="28">
        <f t="shared" si="22"/>
        <v>104.94</v>
      </c>
      <c r="G54" s="4">
        <f t="shared" si="23"/>
        <v>734.57999999999993</v>
      </c>
      <c r="H54" s="28">
        <v>782.54</v>
      </c>
      <c r="I54" s="28">
        <v>216.48</v>
      </c>
      <c r="J54" s="40">
        <f t="shared" si="24"/>
        <v>261.46195562549417</v>
      </c>
      <c r="K54" s="31">
        <f>(F54/$G$92)*Costs!$B$23</f>
        <v>155.20471104117246</v>
      </c>
      <c r="L54" s="31">
        <f t="shared" si="25"/>
        <v>416.66666666666663</v>
      </c>
      <c r="M54" s="31">
        <f t="shared" si="26"/>
        <v>33.333333333333329</v>
      </c>
      <c r="N54" s="40">
        <v>450</v>
      </c>
      <c r="O54" s="25">
        <f>Table13[[#This Row],[Total Selling Price / Unit (MVR)]]*Table13[[#This Row],[Qty 
(NOS)]]</f>
        <v>3150</v>
      </c>
      <c r="P54" s="64">
        <f t="shared" si="18"/>
        <v>3150</v>
      </c>
      <c r="Q54" s="64">
        <v>450</v>
      </c>
      <c r="R54" s="64">
        <f t="shared" si="19"/>
        <v>360</v>
      </c>
      <c r="S54" s="7">
        <v>34.29</v>
      </c>
      <c r="T54" s="28">
        <f t="shared" si="20"/>
        <v>754.38</v>
      </c>
      <c r="U54" s="28">
        <v>782.54</v>
      </c>
      <c r="V54" s="7">
        <v>35.57</v>
      </c>
      <c r="W54" s="7">
        <v>4.7699999999999996</v>
      </c>
      <c r="X54" s="28">
        <f t="shared" si="27"/>
        <v>1469.1599999999999</v>
      </c>
      <c r="Y54" s="28">
        <v>210</v>
      </c>
      <c r="Z54" s="60">
        <f t="shared" si="21"/>
        <v>209.88</v>
      </c>
      <c r="AA54" s="70">
        <v>104.94</v>
      </c>
      <c r="AB54" s="28">
        <v>216.48</v>
      </c>
      <c r="AC54" s="28">
        <v>450</v>
      </c>
      <c r="AD54" s="25">
        <f t="shared" si="28"/>
        <v>548.48940000000005</v>
      </c>
      <c r="AE54" s="25">
        <f t="shared" si="7"/>
        <v>592.36855200000014</v>
      </c>
      <c r="AF54" s="25">
        <f t="shared" si="29"/>
        <v>4146.5798640000012</v>
      </c>
      <c r="AG54" s="25">
        <f t="shared" si="30"/>
        <v>687.26940000000002</v>
      </c>
      <c r="AH54" s="25">
        <f t="shared" si="10"/>
        <v>742.2509520000001</v>
      </c>
      <c r="AI54" s="25">
        <f t="shared" si="31"/>
        <v>5195.7566640000005</v>
      </c>
      <c r="AJ54" s="25">
        <f t="shared" si="12"/>
        <v>782.54</v>
      </c>
      <c r="AK54" s="25">
        <f t="shared" si="13"/>
        <v>845.14319999999998</v>
      </c>
      <c r="AL54" s="25">
        <f t="shared" si="32"/>
        <v>5916.0023999999994</v>
      </c>
      <c r="AM54" s="25">
        <f t="shared" si="33"/>
        <v>980.54</v>
      </c>
      <c r="AN54" s="25">
        <f t="shared" si="16"/>
        <v>1058.9832000000001</v>
      </c>
      <c r="AO54" s="25">
        <f t="shared" si="34"/>
        <v>7412.8824000000004</v>
      </c>
      <c r="AP54" s="22">
        <f>Table13[[#This Row],[Total Selling Price / Unit (MVR)]]/Table13[[#This Row],[CNF / Unit
(MVR)]]</f>
        <v>4.2881646655231558</v>
      </c>
      <c r="AQ54" s="36">
        <f>Table13[[#This Row],[Total Selling Price / Unit (MVR)]]-(Table13[[#This Row],[GST 8%
(MVR)]]+Table13[[#This Row],[Weighted max
expense (MVR)]])</f>
        <v>261.46195562549423</v>
      </c>
      <c r="AR54" s="37">
        <f>Table13[[#This Row],[Profit / Unit (MVR)]]*Table13[[#This Row],[Qty 
(NOS)]]</f>
        <v>1830.2336893784595</v>
      </c>
      <c r="AS54"/>
      <c r="AT54"/>
    </row>
    <row r="55" spans="1:46" x14ac:dyDescent="0.25">
      <c r="A55" t="s">
        <v>36</v>
      </c>
      <c r="B55" s="14" t="s">
        <v>118</v>
      </c>
      <c r="C55" s="4">
        <v>7</v>
      </c>
      <c r="D55" s="7">
        <v>1.04</v>
      </c>
      <c r="E55" s="28">
        <v>7.28</v>
      </c>
      <c r="F55" s="28">
        <f t="shared" si="22"/>
        <v>22.880000000000003</v>
      </c>
      <c r="G55" s="4">
        <f t="shared" si="23"/>
        <v>160.16000000000003</v>
      </c>
      <c r="H55" s="28">
        <v>195.58</v>
      </c>
      <c r="I55" s="28">
        <v>77.66</v>
      </c>
      <c r="J55" s="39">
        <f t="shared" si="24"/>
        <v>86.531188088856865</v>
      </c>
      <c r="K55" s="30">
        <f>(F55/$G$92)*Costs!$B$23</f>
        <v>33.839182281513501</v>
      </c>
      <c r="L55" s="30">
        <f t="shared" si="25"/>
        <v>120.37037037037037</v>
      </c>
      <c r="M55" s="30">
        <f t="shared" si="26"/>
        <v>9.6296296296296298</v>
      </c>
      <c r="N55" s="39">
        <v>130</v>
      </c>
      <c r="O55" s="25">
        <f>Table13[[#This Row],[Total Selling Price / Unit (MVR)]]*Table13[[#This Row],[Qty 
(NOS)]]</f>
        <v>910</v>
      </c>
      <c r="P55" s="64">
        <f t="shared" si="18"/>
        <v>910</v>
      </c>
      <c r="Q55" s="64">
        <v>130</v>
      </c>
      <c r="R55" s="64">
        <f t="shared" si="19"/>
        <v>104</v>
      </c>
      <c r="S55" s="7">
        <v>8.57</v>
      </c>
      <c r="T55" s="28">
        <f t="shared" si="20"/>
        <v>188.54000000000002</v>
      </c>
      <c r="U55" s="28">
        <v>195.58</v>
      </c>
      <c r="V55" s="7">
        <v>8.89</v>
      </c>
      <c r="W55" s="7">
        <v>1.04</v>
      </c>
      <c r="X55" s="28">
        <f t="shared" si="27"/>
        <v>320.32000000000005</v>
      </c>
      <c r="Y55" s="28">
        <v>50</v>
      </c>
      <c r="Z55" s="60">
        <f t="shared" si="21"/>
        <v>45.760000000000005</v>
      </c>
      <c r="AA55" s="69">
        <v>22.880000000000003</v>
      </c>
      <c r="AB55" s="28">
        <v>77.66</v>
      </c>
      <c r="AC55" s="28">
        <v>130</v>
      </c>
      <c r="AD55" s="25">
        <f t="shared" si="28"/>
        <v>137.0838</v>
      </c>
      <c r="AE55" s="25">
        <f t="shared" si="7"/>
        <v>148.05050400000002</v>
      </c>
      <c r="AF55" s="25">
        <f t="shared" si="29"/>
        <v>1036.3535280000001</v>
      </c>
      <c r="AG55" s="25">
        <f t="shared" si="30"/>
        <v>275.86380000000003</v>
      </c>
      <c r="AH55" s="25">
        <f t="shared" si="10"/>
        <v>297.93290400000006</v>
      </c>
      <c r="AI55" s="25">
        <f t="shared" si="31"/>
        <v>2085.5303280000003</v>
      </c>
      <c r="AJ55" s="25">
        <f t="shared" si="12"/>
        <v>195.58</v>
      </c>
      <c r="AK55" s="25">
        <f t="shared" si="13"/>
        <v>211.22640000000004</v>
      </c>
      <c r="AL55" s="25">
        <f t="shared" si="32"/>
        <v>1478.5848000000003</v>
      </c>
      <c r="AM55" s="25">
        <f t="shared" si="33"/>
        <v>393.58000000000004</v>
      </c>
      <c r="AN55" s="25">
        <f t="shared" si="16"/>
        <v>425.06640000000004</v>
      </c>
      <c r="AO55" s="25">
        <f t="shared" si="34"/>
        <v>2975.4648000000002</v>
      </c>
      <c r="AP55" s="22">
        <f>Table13[[#This Row],[Total Selling Price / Unit (MVR)]]/Table13[[#This Row],[CNF / Unit
(MVR)]]</f>
        <v>5.6818181818181808</v>
      </c>
      <c r="AQ55" s="34">
        <f>Table13[[#This Row],[Total Selling Price / Unit (MVR)]]-(Table13[[#This Row],[GST 8%
(MVR)]]+Table13[[#This Row],[Weighted max
expense (MVR)]])</f>
        <v>86.531188088856865</v>
      </c>
      <c r="AR55" s="35">
        <f>Table13[[#This Row],[Profit / Unit (MVR)]]*Table13[[#This Row],[Qty 
(NOS)]]</f>
        <v>605.71831662199804</v>
      </c>
      <c r="AS55"/>
      <c r="AT55"/>
    </row>
    <row r="56" spans="1:46" x14ac:dyDescent="0.25">
      <c r="A56" t="s">
        <v>33</v>
      </c>
      <c r="B56" s="14" t="s">
        <v>118</v>
      </c>
      <c r="C56" s="4">
        <v>7</v>
      </c>
      <c r="D56" s="7">
        <v>4.7699999999999996</v>
      </c>
      <c r="E56" s="28">
        <v>33.39</v>
      </c>
      <c r="F56" s="28">
        <f t="shared" si="22"/>
        <v>104.94</v>
      </c>
      <c r="G56" s="4">
        <f t="shared" si="23"/>
        <v>734.57999999999993</v>
      </c>
      <c r="H56" s="28">
        <v>782.54</v>
      </c>
      <c r="I56" s="28">
        <v>216.48</v>
      </c>
      <c r="J56" s="40">
        <f t="shared" si="24"/>
        <v>261.46195562549417</v>
      </c>
      <c r="K56" s="31">
        <f>(F56/$G$92)*Costs!$B$23</f>
        <v>155.20471104117246</v>
      </c>
      <c r="L56" s="31">
        <f t="shared" si="25"/>
        <v>416.66666666666663</v>
      </c>
      <c r="M56" s="31">
        <f t="shared" si="26"/>
        <v>33.333333333333329</v>
      </c>
      <c r="N56" s="40">
        <v>450</v>
      </c>
      <c r="O56" s="25">
        <f>Table13[[#This Row],[Total Selling Price / Unit (MVR)]]*Table13[[#This Row],[Qty 
(NOS)]]</f>
        <v>3150</v>
      </c>
      <c r="P56" s="64">
        <f t="shared" si="18"/>
        <v>3150</v>
      </c>
      <c r="Q56" s="64">
        <v>450</v>
      </c>
      <c r="R56" s="64">
        <f t="shared" si="19"/>
        <v>360</v>
      </c>
      <c r="S56" s="7">
        <v>34.29</v>
      </c>
      <c r="T56" s="28">
        <f t="shared" si="20"/>
        <v>754.38</v>
      </c>
      <c r="U56" s="28">
        <v>782.54</v>
      </c>
      <c r="V56" s="7">
        <v>35.57</v>
      </c>
      <c r="W56" s="7">
        <v>4.7699999999999996</v>
      </c>
      <c r="X56" s="28">
        <f t="shared" si="27"/>
        <v>1469.1599999999999</v>
      </c>
      <c r="Y56" s="28">
        <v>210</v>
      </c>
      <c r="Z56" s="60">
        <f t="shared" si="21"/>
        <v>209.88</v>
      </c>
      <c r="AA56" s="70">
        <v>104.94</v>
      </c>
      <c r="AB56" s="28">
        <v>216.48</v>
      </c>
      <c r="AC56" s="28">
        <v>450</v>
      </c>
      <c r="AD56" s="25">
        <f t="shared" si="28"/>
        <v>548.48940000000005</v>
      </c>
      <c r="AE56" s="25">
        <f t="shared" si="7"/>
        <v>592.36855200000014</v>
      </c>
      <c r="AF56" s="25">
        <f t="shared" si="29"/>
        <v>4146.5798640000012</v>
      </c>
      <c r="AG56" s="25">
        <f t="shared" si="30"/>
        <v>687.26940000000002</v>
      </c>
      <c r="AH56" s="25">
        <f t="shared" si="10"/>
        <v>742.2509520000001</v>
      </c>
      <c r="AI56" s="25">
        <f t="shared" si="31"/>
        <v>5195.7566640000005</v>
      </c>
      <c r="AJ56" s="25">
        <f t="shared" si="12"/>
        <v>782.54</v>
      </c>
      <c r="AK56" s="25">
        <f t="shared" si="13"/>
        <v>845.14319999999998</v>
      </c>
      <c r="AL56" s="25">
        <f t="shared" si="32"/>
        <v>5916.0023999999994</v>
      </c>
      <c r="AM56" s="25">
        <f t="shared" si="33"/>
        <v>980.54</v>
      </c>
      <c r="AN56" s="25">
        <f t="shared" si="16"/>
        <v>1058.9832000000001</v>
      </c>
      <c r="AO56" s="25">
        <f t="shared" si="34"/>
        <v>7412.8824000000004</v>
      </c>
      <c r="AP56" s="22">
        <f>Table13[[#This Row],[Total Selling Price / Unit (MVR)]]/Table13[[#This Row],[CNF / Unit
(MVR)]]</f>
        <v>4.2881646655231558</v>
      </c>
      <c r="AQ56" s="36">
        <f>Table13[[#This Row],[Total Selling Price / Unit (MVR)]]-(Table13[[#This Row],[GST 8%
(MVR)]]+Table13[[#This Row],[Weighted max
expense (MVR)]])</f>
        <v>261.46195562549423</v>
      </c>
      <c r="AR56" s="37">
        <f>Table13[[#This Row],[Profit / Unit (MVR)]]*Table13[[#This Row],[Qty 
(NOS)]]</f>
        <v>1830.2336893784595</v>
      </c>
      <c r="AS56"/>
      <c r="AT56"/>
    </row>
    <row r="57" spans="1:46" x14ac:dyDescent="0.25">
      <c r="A57" t="s">
        <v>105</v>
      </c>
      <c r="B57" s="14" t="s">
        <v>118</v>
      </c>
      <c r="C57" s="4">
        <v>4</v>
      </c>
      <c r="D57" s="7">
        <v>1.04</v>
      </c>
      <c r="E57" s="28">
        <v>4.16</v>
      </c>
      <c r="F57" s="28">
        <f t="shared" si="22"/>
        <v>22.880000000000003</v>
      </c>
      <c r="G57" s="4">
        <f t="shared" si="23"/>
        <v>91.52000000000001</v>
      </c>
      <c r="H57" s="28">
        <v>195.58</v>
      </c>
      <c r="I57" s="28">
        <v>77.66</v>
      </c>
      <c r="J57" s="39">
        <f t="shared" si="24"/>
        <v>86.531188088856865</v>
      </c>
      <c r="K57" s="30">
        <f>(F57/$G$92)*Costs!$B$23</f>
        <v>33.839182281513501</v>
      </c>
      <c r="L57" s="30">
        <f t="shared" si="25"/>
        <v>120.37037037037037</v>
      </c>
      <c r="M57" s="30">
        <f t="shared" si="26"/>
        <v>9.6296296296296298</v>
      </c>
      <c r="N57" s="39">
        <v>130</v>
      </c>
      <c r="O57" s="25">
        <f>Table13[[#This Row],[Total Selling Price / Unit (MVR)]]*Table13[[#This Row],[Qty 
(NOS)]]</f>
        <v>520</v>
      </c>
      <c r="P57" s="64">
        <f t="shared" si="18"/>
        <v>520</v>
      </c>
      <c r="Q57" s="64">
        <v>130</v>
      </c>
      <c r="R57" s="64">
        <f t="shared" si="19"/>
        <v>104</v>
      </c>
      <c r="S57" s="7">
        <v>8.57</v>
      </c>
      <c r="T57" s="28">
        <f t="shared" si="20"/>
        <v>188.54000000000002</v>
      </c>
      <c r="U57" s="28">
        <v>195.58</v>
      </c>
      <c r="V57" s="7">
        <v>8.89</v>
      </c>
      <c r="W57" s="7">
        <v>1.04</v>
      </c>
      <c r="X57" s="28">
        <f t="shared" si="27"/>
        <v>183.04000000000002</v>
      </c>
      <c r="Y57" s="28">
        <v>50</v>
      </c>
      <c r="Z57" s="60">
        <f t="shared" si="21"/>
        <v>45.760000000000005</v>
      </c>
      <c r="AA57" s="69">
        <v>22.880000000000003</v>
      </c>
      <c r="AB57" s="28">
        <v>77.66</v>
      </c>
      <c r="AC57" s="28">
        <v>130</v>
      </c>
      <c r="AD57" s="25">
        <f t="shared" si="28"/>
        <v>137.0838</v>
      </c>
      <c r="AE57" s="25">
        <f t="shared" si="7"/>
        <v>148.05050400000002</v>
      </c>
      <c r="AF57" s="25">
        <f t="shared" si="29"/>
        <v>592.20201600000007</v>
      </c>
      <c r="AG57" s="25">
        <f t="shared" si="30"/>
        <v>275.86380000000003</v>
      </c>
      <c r="AH57" s="25">
        <f t="shared" si="10"/>
        <v>297.93290400000006</v>
      </c>
      <c r="AI57" s="25">
        <f t="shared" si="31"/>
        <v>1191.7316160000003</v>
      </c>
      <c r="AJ57" s="25">
        <f t="shared" si="12"/>
        <v>195.58</v>
      </c>
      <c r="AK57" s="25">
        <f t="shared" si="13"/>
        <v>211.22640000000004</v>
      </c>
      <c r="AL57" s="25">
        <f t="shared" si="32"/>
        <v>844.90560000000016</v>
      </c>
      <c r="AM57" s="25">
        <f t="shared" si="33"/>
        <v>393.58000000000004</v>
      </c>
      <c r="AN57" s="25">
        <f t="shared" si="16"/>
        <v>425.06640000000004</v>
      </c>
      <c r="AO57" s="25">
        <f t="shared" si="34"/>
        <v>1700.2656000000002</v>
      </c>
      <c r="AP57" s="22">
        <f>Table13[[#This Row],[Total Selling Price / Unit (MVR)]]/Table13[[#This Row],[CNF / Unit
(MVR)]]</f>
        <v>5.6818181818181808</v>
      </c>
      <c r="AQ57" s="34">
        <f>Table13[[#This Row],[Total Selling Price / Unit (MVR)]]-(Table13[[#This Row],[GST 8%
(MVR)]]+Table13[[#This Row],[Weighted max
expense (MVR)]])</f>
        <v>86.531188088856865</v>
      </c>
      <c r="AR57" s="35">
        <f>Table13[[#This Row],[Profit / Unit (MVR)]]*Table13[[#This Row],[Qty 
(NOS)]]</f>
        <v>346.12475235542746</v>
      </c>
      <c r="AS57"/>
      <c r="AT57"/>
    </row>
    <row r="58" spans="1:46" x14ac:dyDescent="0.25">
      <c r="A58" t="s">
        <v>77</v>
      </c>
      <c r="B58" s="14" t="s">
        <v>118</v>
      </c>
      <c r="C58" s="4">
        <v>4</v>
      </c>
      <c r="D58" s="7">
        <v>1.04</v>
      </c>
      <c r="E58" s="28">
        <v>4.16</v>
      </c>
      <c r="F58" s="28">
        <f t="shared" si="22"/>
        <v>22.880000000000003</v>
      </c>
      <c r="G58" s="4">
        <f t="shared" si="23"/>
        <v>91.52000000000001</v>
      </c>
      <c r="H58" s="28">
        <v>195.58</v>
      </c>
      <c r="I58" s="28">
        <v>77.66</v>
      </c>
      <c r="J58" s="40">
        <f t="shared" si="24"/>
        <v>86.531188088856865</v>
      </c>
      <c r="K58" s="31">
        <f>(F58/$G$92)*Costs!$B$23</f>
        <v>33.839182281513501</v>
      </c>
      <c r="L58" s="31">
        <f t="shared" si="25"/>
        <v>120.37037037037037</v>
      </c>
      <c r="M58" s="31">
        <f t="shared" si="26"/>
        <v>9.6296296296296298</v>
      </c>
      <c r="N58" s="40">
        <v>130</v>
      </c>
      <c r="O58" s="25">
        <f>Table13[[#This Row],[Total Selling Price / Unit (MVR)]]*Table13[[#This Row],[Qty 
(NOS)]]</f>
        <v>520</v>
      </c>
      <c r="P58" s="64">
        <f t="shared" si="18"/>
        <v>520</v>
      </c>
      <c r="Q58" s="64">
        <v>130</v>
      </c>
      <c r="R58" s="64">
        <f t="shared" si="19"/>
        <v>104</v>
      </c>
      <c r="S58" s="7">
        <v>8.57</v>
      </c>
      <c r="T58" s="28">
        <f t="shared" si="20"/>
        <v>188.54000000000002</v>
      </c>
      <c r="U58" s="28">
        <v>195.58</v>
      </c>
      <c r="V58" s="7">
        <v>8.89</v>
      </c>
      <c r="W58" s="7">
        <v>1.04</v>
      </c>
      <c r="X58" s="28">
        <f t="shared" si="27"/>
        <v>183.04000000000002</v>
      </c>
      <c r="Y58" s="28">
        <v>50</v>
      </c>
      <c r="Z58" s="60">
        <f t="shared" si="21"/>
        <v>45.760000000000005</v>
      </c>
      <c r="AA58" s="70">
        <v>22.880000000000003</v>
      </c>
      <c r="AB58" s="28">
        <v>77.66</v>
      </c>
      <c r="AC58" s="28">
        <v>130</v>
      </c>
      <c r="AD58" s="25">
        <f t="shared" si="28"/>
        <v>137.0838</v>
      </c>
      <c r="AE58" s="25">
        <f t="shared" si="7"/>
        <v>148.05050400000002</v>
      </c>
      <c r="AF58" s="25">
        <f t="shared" si="29"/>
        <v>592.20201600000007</v>
      </c>
      <c r="AG58" s="25">
        <f t="shared" si="30"/>
        <v>275.86380000000003</v>
      </c>
      <c r="AH58" s="25">
        <f t="shared" si="10"/>
        <v>297.93290400000006</v>
      </c>
      <c r="AI58" s="25">
        <f t="shared" si="31"/>
        <v>1191.7316160000003</v>
      </c>
      <c r="AJ58" s="25">
        <f t="shared" si="12"/>
        <v>195.58</v>
      </c>
      <c r="AK58" s="25">
        <f t="shared" si="13"/>
        <v>211.22640000000004</v>
      </c>
      <c r="AL58" s="25">
        <f t="shared" si="32"/>
        <v>844.90560000000016</v>
      </c>
      <c r="AM58" s="25">
        <f t="shared" si="33"/>
        <v>393.58000000000004</v>
      </c>
      <c r="AN58" s="25">
        <f t="shared" si="16"/>
        <v>425.06640000000004</v>
      </c>
      <c r="AO58" s="25">
        <f t="shared" si="34"/>
        <v>1700.2656000000002</v>
      </c>
      <c r="AP58" s="22">
        <f>Table13[[#This Row],[Total Selling Price / Unit (MVR)]]/Table13[[#This Row],[CNF / Unit
(MVR)]]</f>
        <v>5.6818181818181808</v>
      </c>
      <c r="AQ58" s="36">
        <f>Table13[[#This Row],[Total Selling Price / Unit (MVR)]]-(Table13[[#This Row],[GST 8%
(MVR)]]+Table13[[#This Row],[Weighted max
expense (MVR)]])</f>
        <v>86.531188088856865</v>
      </c>
      <c r="AR58" s="37">
        <f>Table13[[#This Row],[Profit / Unit (MVR)]]*Table13[[#This Row],[Qty 
(NOS)]]</f>
        <v>346.12475235542746</v>
      </c>
      <c r="AS58"/>
      <c r="AT58"/>
    </row>
    <row r="59" spans="1:46" x14ac:dyDescent="0.25">
      <c r="A59" t="s">
        <v>74</v>
      </c>
      <c r="B59" s="14" t="s">
        <v>118</v>
      </c>
      <c r="C59" s="4">
        <v>4</v>
      </c>
      <c r="D59" s="7">
        <v>4.7699999999999996</v>
      </c>
      <c r="E59" s="28">
        <v>19.079999999999998</v>
      </c>
      <c r="F59" s="28">
        <f t="shared" si="22"/>
        <v>104.94</v>
      </c>
      <c r="G59" s="4">
        <f t="shared" si="23"/>
        <v>419.76</v>
      </c>
      <c r="H59" s="28">
        <v>782.54</v>
      </c>
      <c r="I59" s="28">
        <v>216.48</v>
      </c>
      <c r="J59" s="39">
        <f t="shared" si="24"/>
        <v>261.46195562549417</v>
      </c>
      <c r="K59" s="30">
        <f>(F59/$G$92)*Costs!$B$23</f>
        <v>155.20471104117246</v>
      </c>
      <c r="L59" s="30">
        <f t="shared" si="25"/>
        <v>416.66666666666663</v>
      </c>
      <c r="M59" s="30">
        <f t="shared" si="26"/>
        <v>33.333333333333329</v>
      </c>
      <c r="N59" s="39">
        <v>450</v>
      </c>
      <c r="O59" s="25">
        <f>Table13[[#This Row],[Total Selling Price / Unit (MVR)]]*Table13[[#This Row],[Qty 
(NOS)]]</f>
        <v>1800</v>
      </c>
      <c r="P59" s="64">
        <f t="shared" si="18"/>
        <v>1800</v>
      </c>
      <c r="Q59" s="64">
        <v>450</v>
      </c>
      <c r="R59" s="64">
        <f t="shared" si="19"/>
        <v>360</v>
      </c>
      <c r="S59" s="7">
        <v>34.29</v>
      </c>
      <c r="T59" s="28">
        <f t="shared" si="20"/>
        <v>754.38</v>
      </c>
      <c r="U59" s="28">
        <v>782.54</v>
      </c>
      <c r="V59" s="7">
        <v>35.57</v>
      </c>
      <c r="W59" s="7">
        <v>4.7699999999999996</v>
      </c>
      <c r="X59" s="28">
        <f t="shared" si="27"/>
        <v>839.52</v>
      </c>
      <c r="Y59" s="28">
        <v>210</v>
      </c>
      <c r="Z59" s="60">
        <f t="shared" si="21"/>
        <v>209.88</v>
      </c>
      <c r="AA59" s="69">
        <v>104.94</v>
      </c>
      <c r="AB59" s="28">
        <v>216.48</v>
      </c>
      <c r="AC59" s="28">
        <v>450</v>
      </c>
      <c r="AD59" s="25">
        <f t="shared" si="28"/>
        <v>548.48940000000005</v>
      </c>
      <c r="AE59" s="25">
        <f t="shared" si="7"/>
        <v>592.36855200000014</v>
      </c>
      <c r="AF59" s="25">
        <f t="shared" si="29"/>
        <v>2369.4742080000005</v>
      </c>
      <c r="AG59" s="25">
        <f t="shared" si="30"/>
        <v>687.26940000000002</v>
      </c>
      <c r="AH59" s="25">
        <f t="shared" si="10"/>
        <v>742.2509520000001</v>
      </c>
      <c r="AI59" s="25">
        <f t="shared" si="31"/>
        <v>2969.0038080000004</v>
      </c>
      <c r="AJ59" s="25">
        <f t="shared" si="12"/>
        <v>782.54</v>
      </c>
      <c r="AK59" s="25">
        <f t="shared" si="13"/>
        <v>845.14319999999998</v>
      </c>
      <c r="AL59" s="25">
        <f t="shared" si="32"/>
        <v>3380.5727999999999</v>
      </c>
      <c r="AM59" s="25">
        <f t="shared" si="33"/>
        <v>980.54</v>
      </c>
      <c r="AN59" s="25">
        <f t="shared" si="16"/>
        <v>1058.9832000000001</v>
      </c>
      <c r="AO59" s="25">
        <f t="shared" si="34"/>
        <v>4235.9328000000005</v>
      </c>
      <c r="AP59" s="22">
        <f>Table13[[#This Row],[Total Selling Price / Unit (MVR)]]/Table13[[#This Row],[CNF / Unit
(MVR)]]</f>
        <v>4.2881646655231558</v>
      </c>
      <c r="AQ59" s="34">
        <f>Table13[[#This Row],[Total Selling Price / Unit (MVR)]]-(Table13[[#This Row],[GST 8%
(MVR)]]+Table13[[#This Row],[Weighted max
expense (MVR)]])</f>
        <v>261.46195562549423</v>
      </c>
      <c r="AR59" s="35">
        <f>Table13[[#This Row],[Profit / Unit (MVR)]]*Table13[[#This Row],[Qty 
(NOS)]]</f>
        <v>1045.8478225019769</v>
      </c>
      <c r="AS59"/>
      <c r="AT59"/>
    </row>
    <row r="60" spans="1:46" x14ac:dyDescent="0.25">
      <c r="A60" t="s">
        <v>78</v>
      </c>
      <c r="B60" s="14" t="s">
        <v>118</v>
      </c>
      <c r="C60" s="4">
        <v>4</v>
      </c>
      <c r="D60" s="7">
        <v>1.04</v>
      </c>
      <c r="E60" s="28">
        <v>4.16</v>
      </c>
      <c r="F60" s="28">
        <f t="shared" si="22"/>
        <v>22.880000000000003</v>
      </c>
      <c r="G60" s="4">
        <f t="shared" si="23"/>
        <v>91.52000000000001</v>
      </c>
      <c r="H60" s="28">
        <v>195.58</v>
      </c>
      <c r="I60" s="28">
        <v>77.66</v>
      </c>
      <c r="J60" s="40">
        <f t="shared" si="24"/>
        <v>86.531188088856865</v>
      </c>
      <c r="K60" s="31">
        <f>(F60/$G$92)*Costs!$B$23</f>
        <v>33.839182281513501</v>
      </c>
      <c r="L60" s="31">
        <f t="shared" si="25"/>
        <v>120.37037037037037</v>
      </c>
      <c r="M60" s="31">
        <f t="shared" si="26"/>
        <v>9.6296296296296298</v>
      </c>
      <c r="N60" s="40">
        <v>130</v>
      </c>
      <c r="O60" s="25">
        <f>Table13[[#This Row],[Total Selling Price / Unit (MVR)]]*Table13[[#This Row],[Qty 
(NOS)]]</f>
        <v>520</v>
      </c>
      <c r="P60" s="64">
        <f t="shared" si="18"/>
        <v>520</v>
      </c>
      <c r="Q60" s="64">
        <v>130</v>
      </c>
      <c r="R60" s="64">
        <f t="shared" si="19"/>
        <v>104</v>
      </c>
      <c r="S60" s="7">
        <v>8.57</v>
      </c>
      <c r="T60" s="28">
        <f t="shared" si="20"/>
        <v>188.54000000000002</v>
      </c>
      <c r="U60" s="28">
        <v>195.58</v>
      </c>
      <c r="V60" s="7">
        <v>8.89</v>
      </c>
      <c r="W60" s="7">
        <v>1.04</v>
      </c>
      <c r="X60" s="28">
        <f t="shared" si="27"/>
        <v>183.04000000000002</v>
      </c>
      <c r="Y60" s="28">
        <v>50</v>
      </c>
      <c r="Z60" s="60">
        <f t="shared" si="21"/>
        <v>45.760000000000005</v>
      </c>
      <c r="AA60" s="70">
        <v>22.880000000000003</v>
      </c>
      <c r="AB60" s="28">
        <v>77.66</v>
      </c>
      <c r="AC60" s="28">
        <v>130</v>
      </c>
      <c r="AD60" s="25">
        <f t="shared" si="28"/>
        <v>137.0838</v>
      </c>
      <c r="AE60" s="25">
        <f t="shared" si="7"/>
        <v>148.05050400000002</v>
      </c>
      <c r="AF60" s="25">
        <f t="shared" si="29"/>
        <v>592.20201600000007</v>
      </c>
      <c r="AG60" s="25">
        <f t="shared" si="30"/>
        <v>275.86380000000003</v>
      </c>
      <c r="AH60" s="25">
        <f t="shared" si="10"/>
        <v>297.93290400000006</v>
      </c>
      <c r="AI60" s="25">
        <f t="shared" si="31"/>
        <v>1191.7316160000003</v>
      </c>
      <c r="AJ60" s="25">
        <f t="shared" si="12"/>
        <v>195.58</v>
      </c>
      <c r="AK60" s="25">
        <f t="shared" si="13"/>
        <v>211.22640000000004</v>
      </c>
      <c r="AL60" s="25">
        <f t="shared" si="32"/>
        <v>844.90560000000016</v>
      </c>
      <c r="AM60" s="25">
        <f t="shared" si="33"/>
        <v>393.58000000000004</v>
      </c>
      <c r="AN60" s="25">
        <f t="shared" si="16"/>
        <v>425.06640000000004</v>
      </c>
      <c r="AO60" s="25">
        <f t="shared" si="34"/>
        <v>1700.2656000000002</v>
      </c>
      <c r="AP60" s="22">
        <f>Table13[[#This Row],[Total Selling Price / Unit (MVR)]]/Table13[[#This Row],[CNF / Unit
(MVR)]]</f>
        <v>5.6818181818181808</v>
      </c>
      <c r="AQ60" s="36">
        <f>Table13[[#This Row],[Total Selling Price / Unit (MVR)]]-(Table13[[#This Row],[GST 8%
(MVR)]]+Table13[[#This Row],[Weighted max
expense (MVR)]])</f>
        <v>86.531188088856865</v>
      </c>
      <c r="AR60" s="37">
        <f>Table13[[#This Row],[Profit / Unit (MVR)]]*Table13[[#This Row],[Qty 
(NOS)]]</f>
        <v>346.12475235542746</v>
      </c>
      <c r="AS60"/>
      <c r="AT60"/>
    </row>
    <row r="61" spans="1:46" x14ac:dyDescent="0.25">
      <c r="A61" t="s">
        <v>75</v>
      </c>
      <c r="B61" s="14" t="s">
        <v>118</v>
      </c>
      <c r="C61" s="4">
        <v>4</v>
      </c>
      <c r="D61" s="7">
        <v>4.7699999999999996</v>
      </c>
      <c r="E61" s="28">
        <v>19.079999999999998</v>
      </c>
      <c r="F61" s="28">
        <f t="shared" si="22"/>
        <v>104.94</v>
      </c>
      <c r="G61" s="4">
        <f t="shared" si="23"/>
        <v>419.76</v>
      </c>
      <c r="H61" s="28">
        <v>782.54</v>
      </c>
      <c r="I61" s="28">
        <v>216.48</v>
      </c>
      <c r="J61" s="39">
        <f t="shared" si="24"/>
        <v>261.46195562549417</v>
      </c>
      <c r="K61" s="30">
        <f>(F61/$G$92)*Costs!$B$23</f>
        <v>155.20471104117246</v>
      </c>
      <c r="L61" s="30">
        <f t="shared" si="25"/>
        <v>416.66666666666663</v>
      </c>
      <c r="M61" s="30">
        <f t="shared" si="26"/>
        <v>33.333333333333329</v>
      </c>
      <c r="N61" s="39">
        <v>450</v>
      </c>
      <c r="O61" s="25">
        <f>Table13[[#This Row],[Total Selling Price / Unit (MVR)]]*Table13[[#This Row],[Qty 
(NOS)]]</f>
        <v>1800</v>
      </c>
      <c r="P61" s="64">
        <f t="shared" si="18"/>
        <v>1800</v>
      </c>
      <c r="Q61" s="64">
        <v>450</v>
      </c>
      <c r="R61" s="64">
        <f t="shared" si="19"/>
        <v>360</v>
      </c>
      <c r="S61" s="7">
        <v>34.29</v>
      </c>
      <c r="T61" s="28">
        <f t="shared" si="20"/>
        <v>754.38</v>
      </c>
      <c r="U61" s="28">
        <v>782.54</v>
      </c>
      <c r="V61" s="7">
        <v>35.57</v>
      </c>
      <c r="W61" s="7">
        <v>4.7699999999999996</v>
      </c>
      <c r="X61" s="28">
        <f t="shared" si="27"/>
        <v>839.52</v>
      </c>
      <c r="Y61" s="28">
        <v>210</v>
      </c>
      <c r="Z61" s="60">
        <f t="shared" si="21"/>
        <v>209.88</v>
      </c>
      <c r="AA61" s="69">
        <v>104.94</v>
      </c>
      <c r="AB61" s="28">
        <v>216.48</v>
      </c>
      <c r="AC61" s="28">
        <v>450</v>
      </c>
      <c r="AD61" s="25">
        <f t="shared" si="28"/>
        <v>548.48940000000005</v>
      </c>
      <c r="AE61" s="25">
        <f t="shared" si="7"/>
        <v>592.36855200000014</v>
      </c>
      <c r="AF61" s="25">
        <f t="shared" si="29"/>
        <v>2369.4742080000005</v>
      </c>
      <c r="AG61" s="25">
        <f t="shared" si="30"/>
        <v>687.26940000000002</v>
      </c>
      <c r="AH61" s="25">
        <f t="shared" si="10"/>
        <v>742.2509520000001</v>
      </c>
      <c r="AI61" s="25">
        <f t="shared" si="31"/>
        <v>2969.0038080000004</v>
      </c>
      <c r="AJ61" s="25">
        <f t="shared" si="12"/>
        <v>782.54</v>
      </c>
      <c r="AK61" s="25">
        <f t="shared" si="13"/>
        <v>845.14319999999998</v>
      </c>
      <c r="AL61" s="25">
        <f t="shared" si="32"/>
        <v>3380.5727999999999</v>
      </c>
      <c r="AM61" s="25">
        <f t="shared" si="33"/>
        <v>980.54</v>
      </c>
      <c r="AN61" s="25">
        <f t="shared" si="16"/>
        <v>1058.9832000000001</v>
      </c>
      <c r="AO61" s="25">
        <f t="shared" si="34"/>
        <v>4235.9328000000005</v>
      </c>
      <c r="AP61" s="22">
        <f>Table13[[#This Row],[Total Selling Price / Unit (MVR)]]/Table13[[#This Row],[CNF / Unit
(MVR)]]</f>
        <v>4.2881646655231558</v>
      </c>
      <c r="AQ61" s="34">
        <f>Table13[[#This Row],[Total Selling Price / Unit (MVR)]]-(Table13[[#This Row],[GST 8%
(MVR)]]+Table13[[#This Row],[Weighted max
expense (MVR)]])</f>
        <v>261.46195562549423</v>
      </c>
      <c r="AR61" s="35">
        <f>Table13[[#This Row],[Profit / Unit (MVR)]]*Table13[[#This Row],[Qty 
(NOS)]]</f>
        <v>1045.8478225019769</v>
      </c>
      <c r="AS61"/>
      <c r="AT61"/>
    </row>
    <row r="62" spans="1:46" x14ac:dyDescent="0.25">
      <c r="A62" t="s">
        <v>73</v>
      </c>
      <c r="B62" s="14" t="s">
        <v>118</v>
      </c>
      <c r="C62" s="4">
        <v>4</v>
      </c>
      <c r="D62" s="7">
        <v>4.7699999999999996</v>
      </c>
      <c r="E62" s="28">
        <v>19.079999999999998</v>
      </c>
      <c r="F62" s="28">
        <f t="shared" si="22"/>
        <v>104.94</v>
      </c>
      <c r="G62" s="4">
        <f t="shared" si="23"/>
        <v>419.76</v>
      </c>
      <c r="H62" s="28">
        <v>782.54</v>
      </c>
      <c r="I62" s="28">
        <v>216.48</v>
      </c>
      <c r="J62" s="40">
        <f t="shared" si="24"/>
        <v>261.46195562549417</v>
      </c>
      <c r="K62" s="31">
        <f>(F62/$G$92)*Costs!$B$23</f>
        <v>155.20471104117246</v>
      </c>
      <c r="L62" s="31">
        <f t="shared" si="25"/>
        <v>416.66666666666663</v>
      </c>
      <c r="M62" s="31">
        <f t="shared" si="26"/>
        <v>33.333333333333329</v>
      </c>
      <c r="N62" s="40">
        <v>450</v>
      </c>
      <c r="O62" s="25">
        <f>Table13[[#This Row],[Total Selling Price / Unit (MVR)]]*Table13[[#This Row],[Qty 
(NOS)]]</f>
        <v>1800</v>
      </c>
      <c r="P62" s="64">
        <f t="shared" si="18"/>
        <v>1800</v>
      </c>
      <c r="Q62" s="64">
        <v>450</v>
      </c>
      <c r="R62" s="64">
        <f t="shared" si="19"/>
        <v>360</v>
      </c>
      <c r="S62" s="7">
        <v>34.29</v>
      </c>
      <c r="T62" s="28">
        <f t="shared" si="20"/>
        <v>754.38</v>
      </c>
      <c r="U62" s="28">
        <v>782.54</v>
      </c>
      <c r="V62" s="7">
        <v>35.57</v>
      </c>
      <c r="W62" s="7">
        <v>4.7699999999999996</v>
      </c>
      <c r="X62" s="28">
        <f t="shared" si="27"/>
        <v>839.52</v>
      </c>
      <c r="Y62" s="28">
        <v>210</v>
      </c>
      <c r="Z62" s="60">
        <f t="shared" si="21"/>
        <v>209.88</v>
      </c>
      <c r="AA62" s="70">
        <v>104.94</v>
      </c>
      <c r="AB62" s="28">
        <v>216.48</v>
      </c>
      <c r="AC62" s="28">
        <v>450</v>
      </c>
      <c r="AD62" s="25">
        <f t="shared" si="28"/>
        <v>548.48940000000005</v>
      </c>
      <c r="AE62" s="25">
        <f t="shared" si="7"/>
        <v>592.36855200000014</v>
      </c>
      <c r="AF62" s="25">
        <f t="shared" si="29"/>
        <v>2369.4742080000005</v>
      </c>
      <c r="AG62" s="25">
        <f t="shared" si="30"/>
        <v>687.26940000000002</v>
      </c>
      <c r="AH62" s="25">
        <f t="shared" si="10"/>
        <v>742.2509520000001</v>
      </c>
      <c r="AI62" s="25">
        <f t="shared" si="31"/>
        <v>2969.0038080000004</v>
      </c>
      <c r="AJ62" s="25">
        <f t="shared" si="12"/>
        <v>782.54</v>
      </c>
      <c r="AK62" s="25">
        <f t="shared" si="13"/>
        <v>845.14319999999998</v>
      </c>
      <c r="AL62" s="25">
        <f t="shared" si="32"/>
        <v>3380.5727999999999</v>
      </c>
      <c r="AM62" s="25">
        <f t="shared" si="33"/>
        <v>980.54</v>
      </c>
      <c r="AN62" s="25">
        <f t="shared" si="16"/>
        <v>1058.9832000000001</v>
      </c>
      <c r="AO62" s="25">
        <f t="shared" si="34"/>
        <v>4235.9328000000005</v>
      </c>
      <c r="AP62" s="22">
        <f>Table13[[#This Row],[Total Selling Price / Unit (MVR)]]/Table13[[#This Row],[CNF / Unit
(MVR)]]</f>
        <v>4.2881646655231558</v>
      </c>
      <c r="AQ62" s="36">
        <f>Table13[[#This Row],[Total Selling Price / Unit (MVR)]]-(Table13[[#This Row],[GST 8%
(MVR)]]+Table13[[#This Row],[Weighted max
expense (MVR)]])</f>
        <v>261.46195562549423</v>
      </c>
      <c r="AR62" s="37">
        <f>Table13[[#This Row],[Profit / Unit (MVR)]]*Table13[[#This Row],[Qty 
(NOS)]]</f>
        <v>1045.8478225019769</v>
      </c>
      <c r="AS62"/>
      <c r="AT62"/>
    </row>
    <row r="63" spans="1:46" x14ac:dyDescent="0.25">
      <c r="A63" t="s">
        <v>76</v>
      </c>
      <c r="B63" s="14" t="s">
        <v>118</v>
      </c>
      <c r="C63" s="4">
        <v>4</v>
      </c>
      <c r="D63" s="7">
        <v>7.72</v>
      </c>
      <c r="E63" s="28">
        <v>30.88</v>
      </c>
      <c r="F63" s="28">
        <f t="shared" si="22"/>
        <v>169.84</v>
      </c>
      <c r="G63" s="4">
        <f t="shared" si="23"/>
        <v>679.36</v>
      </c>
      <c r="H63" s="28">
        <v>1271.5999999999999</v>
      </c>
      <c r="I63" s="28">
        <v>319</v>
      </c>
      <c r="J63" s="39">
        <f t="shared" si="24"/>
        <v>142.32766542882214</v>
      </c>
      <c r="K63" s="30">
        <f>(F63/$G$92)*Costs!$B$23</f>
        <v>251.19085308969633</v>
      </c>
      <c r="L63" s="30">
        <f t="shared" si="25"/>
        <v>393.51851851851848</v>
      </c>
      <c r="M63" s="30">
        <f t="shared" si="26"/>
        <v>31.481481481481477</v>
      </c>
      <c r="N63" s="39">
        <v>425</v>
      </c>
      <c r="O63" s="25">
        <f>Table13[[#This Row],[Total Selling Price / Unit (MVR)]]*Table13[[#This Row],[Qty 
(NOS)]]</f>
        <v>1700</v>
      </c>
      <c r="P63" s="64">
        <f t="shared" si="18"/>
        <v>1920</v>
      </c>
      <c r="Q63" s="64">
        <v>480</v>
      </c>
      <c r="R63" s="64">
        <f t="shared" si="19"/>
        <v>384</v>
      </c>
      <c r="S63" s="7">
        <v>55.71</v>
      </c>
      <c r="T63" s="28">
        <f t="shared" si="20"/>
        <v>1225.6200000000001</v>
      </c>
      <c r="U63" s="28">
        <v>1271.5999999999999</v>
      </c>
      <c r="V63" s="7">
        <v>57.8</v>
      </c>
      <c r="W63" s="7">
        <v>7.72</v>
      </c>
      <c r="X63" s="28">
        <f t="shared" si="27"/>
        <v>1358.72</v>
      </c>
      <c r="Y63" s="28">
        <v>340</v>
      </c>
      <c r="Z63" s="60">
        <f t="shared" si="21"/>
        <v>339.68</v>
      </c>
      <c r="AA63" s="69">
        <v>169.84</v>
      </c>
      <c r="AB63" s="28">
        <v>319</v>
      </c>
      <c r="AC63" s="28">
        <v>425</v>
      </c>
      <c r="AD63" s="25">
        <f t="shared" si="28"/>
        <v>891.27599999999995</v>
      </c>
      <c r="AE63" s="25">
        <f t="shared" si="7"/>
        <v>962.57808</v>
      </c>
      <c r="AF63" s="25">
        <f t="shared" si="29"/>
        <v>3850.31232</v>
      </c>
      <c r="AG63" s="25">
        <f t="shared" si="30"/>
        <v>1030.056</v>
      </c>
      <c r="AH63" s="25">
        <f t="shared" si="10"/>
        <v>1112.4604800000002</v>
      </c>
      <c r="AI63" s="25">
        <f t="shared" si="31"/>
        <v>4449.8419200000008</v>
      </c>
      <c r="AJ63" s="25">
        <f t="shared" si="12"/>
        <v>1271.5999999999999</v>
      </c>
      <c r="AK63" s="25">
        <f t="shared" si="13"/>
        <v>1373.328</v>
      </c>
      <c r="AL63" s="25">
        <f t="shared" si="32"/>
        <v>5493.3119999999999</v>
      </c>
      <c r="AM63" s="25">
        <f t="shared" si="33"/>
        <v>1469.6</v>
      </c>
      <c r="AN63" s="25">
        <f t="shared" si="16"/>
        <v>1587.1679999999999</v>
      </c>
      <c r="AO63" s="25">
        <f t="shared" si="34"/>
        <v>6348.6719999999996</v>
      </c>
      <c r="AP63" s="22">
        <f>Table13[[#This Row],[Total Selling Price / Unit (MVR)]]/Table13[[#This Row],[CNF / Unit
(MVR)]]</f>
        <v>2.5023551577955723</v>
      </c>
      <c r="AQ63" s="34">
        <f>Table13[[#This Row],[Total Selling Price / Unit (MVR)]]-(Table13[[#This Row],[GST 8%
(MVR)]]+Table13[[#This Row],[Weighted max
expense (MVR)]])</f>
        <v>142.32766542882217</v>
      </c>
      <c r="AR63" s="35">
        <f>Table13[[#This Row],[Profit / Unit (MVR)]]*Table13[[#This Row],[Qty 
(NOS)]]</f>
        <v>569.31066171528869</v>
      </c>
      <c r="AS63"/>
      <c r="AT63"/>
    </row>
    <row r="64" spans="1:46" x14ac:dyDescent="0.25">
      <c r="A64" t="s">
        <v>46</v>
      </c>
      <c r="B64" s="18" t="s">
        <v>122</v>
      </c>
      <c r="C64" s="4">
        <v>4</v>
      </c>
      <c r="D64" s="7">
        <v>4.3</v>
      </c>
      <c r="E64" s="28">
        <v>17.2</v>
      </c>
      <c r="F64" s="28">
        <f t="shared" si="22"/>
        <v>94.6</v>
      </c>
      <c r="G64" s="4">
        <f t="shared" si="23"/>
        <v>378.4</v>
      </c>
      <c r="H64" s="28">
        <v>53.900000000000006</v>
      </c>
      <c r="I64" s="28">
        <v>335.71999999999997</v>
      </c>
      <c r="J64" s="40">
        <f t="shared" si="24"/>
        <v>137.86577411382774</v>
      </c>
      <c r="K64" s="31">
        <f>(F64/$G$92)*Costs!$B$23</f>
        <v>139.91200366395003</v>
      </c>
      <c r="L64" s="31">
        <f t="shared" si="25"/>
        <v>277.77777777777777</v>
      </c>
      <c r="M64" s="31">
        <f t="shared" si="26"/>
        <v>22.222222222222221</v>
      </c>
      <c r="N64" s="40">
        <v>300</v>
      </c>
      <c r="O64" s="25">
        <f>Table13[[#This Row],[Total Selling Price / Unit (MVR)]]*Table13[[#This Row],[Qty 
(NOS)]]</f>
        <v>1200</v>
      </c>
      <c r="P64" s="64">
        <f t="shared" si="18"/>
        <v>1200</v>
      </c>
      <c r="Q64" s="64">
        <v>300</v>
      </c>
      <c r="R64" s="64">
        <f t="shared" si="19"/>
        <v>240</v>
      </c>
      <c r="S64" s="7">
        <v>3.93</v>
      </c>
      <c r="T64" s="28">
        <f t="shared" si="20"/>
        <v>86.460000000000008</v>
      </c>
      <c r="U64" s="28">
        <v>53.900000000000006</v>
      </c>
      <c r="V64" s="7">
        <v>4.08</v>
      </c>
      <c r="W64" s="7">
        <v>4.3</v>
      </c>
      <c r="X64" s="28">
        <f t="shared" si="27"/>
        <v>756.8</v>
      </c>
      <c r="Y64" s="28">
        <v>190</v>
      </c>
      <c r="Z64" s="60">
        <f t="shared" si="21"/>
        <v>189.2</v>
      </c>
      <c r="AA64" s="70">
        <v>94.6</v>
      </c>
      <c r="AB64" s="28">
        <v>335.71999999999997</v>
      </c>
      <c r="AC64" s="28">
        <v>300</v>
      </c>
      <c r="AD64" s="25">
        <f t="shared" si="28"/>
        <v>62.913600000000002</v>
      </c>
      <c r="AE64" s="25">
        <f t="shared" si="7"/>
        <v>67.946688000000009</v>
      </c>
      <c r="AF64" s="25">
        <f t="shared" si="29"/>
        <v>271.78675200000004</v>
      </c>
      <c r="AG64" s="25">
        <f t="shared" si="30"/>
        <v>201.6936</v>
      </c>
      <c r="AH64" s="25">
        <f t="shared" si="10"/>
        <v>217.82908800000001</v>
      </c>
      <c r="AI64" s="25">
        <f t="shared" si="31"/>
        <v>871.31635200000005</v>
      </c>
      <c r="AJ64" s="25">
        <f t="shared" si="12"/>
        <v>89.76</v>
      </c>
      <c r="AK64" s="25">
        <f t="shared" si="13"/>
        <v>96.94080000000001</v>
      </c>
      <c r="AL64" s="25">
        <f t="shared" si="32"/>
        <v>387.76320000000004</v>
      </c>
      <c r="AM64" s="25">
        <f t="shared" si="33"/>
        <v>287.76</v>
      </c>
      <c r="AN64" s="25">
        <f t="shared" si="16"/>
        <v>310.7808</v>
      </c>
      <c r="AO64" s="25">
        <f t="shared" si="34"/>
        <v>1243.1232</v>
      </c>
      <c r="AP64" s="22">
        <f>Table13[[#This Row],[Total Selling Price / Unit (MVR)]]/Table13[[#This Row],[CNF / Unit
(MVR)]]</f>
        <v>3.1712473572938693</v>
      </c>
      <c r="AQ64" s="36">
        <f>Table13[[#This Row],[Total Selling Price / Unit (MVR)]]-(Table13[[#This Row],[GST 8%
(MVR)]]+Table13[[#This Row],[Weighted max
expense (MVR)]])</f>
        <v>137.86577411382774</v>
      </c>
      <c r="AR64" s="37">
        <f>Table13[[#This Row],[Profit / Unit (MVR)]]*Table13[[#This Row],[Qty 
(NOS)]]</f>
        <v>551.46309645531096</v>
      </c>
      <c r="AS64"/>
      <c r="AT64"/>
    </row>
    <row r="65" spans="1:46" x14ac:dyDescent="0.25">
      <c r="A65" t="s">
        <v>91</v>
      </c>
      <c r="B65" s="18" t="s">
        <v>122</v>
      </c>
      <c r="C65" s="4">
        <v>4</v>
      </c>
      <c r="D65" s="7">
        <v>4.3</v>
      </c>
      <c r="E65" s="28">
        <v>17.2</v>
      </c>
      <c r="F65" s="28">
        <f t="shared" si="22"/>
        <v>94.6</v>
      </c>
      <c r="G65" s="4">
        <f t="shared" si="23"/>
        <v>378.4</v>
      </c>
      <c r="H65" s="28">
        <v>53.900000000000006</v>
      </c>
      <c r="I65" s="28">
        <v>335.71999999999997</v>
      </c>
      <c r="J65" s="39">
        <f t="shared" si="24"/>
        <v>137.86577411382774</v>
      </c>
      <c r="K65" s="30">
        <f>(F65/$G$92)*Costs!$B$23</f>
        <v>139.91200366395003</v>
      </c>
      <c r="L65" s="30">
        <f t="shared" si="25"/>
        <v>277.77777777777777</v>
      </c>
      <c r="M65" s="30">
        <f t="shared" si="26"/>
        <v>22.222222222222221</v>
      </c>
      <c r="N65" s="39">
        <v>300</v>
      </c>
      <c r="O65" s="25">
        <f>Table13[[#This Row],[Total Selling Price / Unit (MVR)]]*Table13[[#This Row],[Qty 
(NOS)]]</f>
        <v>1200</v>
      </c>
      <c r="P65" s="64">
        <f t="shared" si="18"/>
        <v>1200</v>
      </c>
      <c r="Q65" s="64">
        <v>300</v>
      </c>
      <c r="R65" s="64">
        <f t="shared" si="19"/>
        <v>240</v>
      </c>
      <c r="S65" s="7">
        <v>3.93</v>
      </c>
      <c r="T65" s="28">
        <f t="shared" si="20"/>
        <v>86.460000000000008</v>
      </c>
      <c r="U65" s="28">
        <v>53.900000000000006</v>
      </c>
      <c r="V65" s="7">
        <v>4.08</v>
      </c>
      <c r="W65" s="7">
        <v>4.3</v>
      </c>
      <c r="X65" s="28">
        <f t="shared" si="27"/>
        <v>756.8</v>
      </c>
      <c r="Y65" s="28">
        <v>190</v>
      </c>
      <c r="Z65" s="60">
        <f t="shared" si="21"/>
        <v>189.2</v>
      </c>
      <c r="AA65" s="69">
        <v>94.6</v>
      </c>
      <c r="AB65" s="28">
        <v>335.71999999999997</v>
      </c>
      <c r="AC65" s="28">
        <v>300</v>
      </c>
      <c r="AD65" s="25">
        <f t="shared" si="28"/>
        <v>62.913600000000002</v>
      </c>
      <c r="AE65" s="25">
        <f t="shared" si="7"/>
        <v>67.946688000000009</v>
      </c>
      <c r="AF65" s="25">
        <f t="shared" si="29"/>
        <v>271.78675200000004</v>
      </c>
      <c r="AG65" s="25">
        <f t="shared" si="30"/>
        <v>201.6936</v>
      </c>
      <c r="AH65" s="25">
        <f t="shared" si="10"/>
        <v>217.82908800000001</v>
      </c>
      <c r="AI65" s="25">
        <f t="shared" si="31"/>
        <v>871.31635200000005</v>
      </c>
      <c r="AJ65" s="25">
        <f t="shared" si="12"/>
        <v>89.76</v>
      </c>
      <c r="AK65" s="25">
        <f t="shared" si="13"/>
        <v>96.94080000000001</v>
      </c>
      <c r="AL65" s="25">
        <f t="shared" si="32"/>
        <v>387.76320000000004</v>
      </c>
      <c r="AM65" s="25">
        <f t="shared" si="33"/>
        <v>287.76</v>
      </c>
      <c r="AN65" s="25">
        <f t="shared" si="16"/>
        <v>310.7808</v>
      </c>
      <c r="AO65" s="25">
        <f t="shared" si="34"/>
        <v>1243.1232</v>
      </c>
      <c r="AP65" s="22">
        <f>Table13[[#This Row],[Total Selling Price / Unit (MVR)]]/Table13[[#This Row],[CNF / Unit
(MVR)]]</f>
        <v>3.1712473572938693</v>
      </c>
      <c r="AQ65" s="34">
        <f>Table13[[#This Row],[Total Selling Price / Unit (MVR)]]-(Table13[[#This Row],[GST 8%
(MVR)]]+Table13[[#This Row],[Weighted max
expense (MVR)]])</f>
        <v>137.86577411382774</v>
      </c>
      <c r="AR65" s="35">
        <f>Table13[[#This Row],[Profit / Unit (MVR)]]*Table13[[#This Row],[Qty 
(NOS)]]</f>
        <v>551.46309645531096</v>
      </c>
      <c r="AS65"/>
      <c r="AT65"/>
    </row>
    <row r="66" spans="1:46" x14ac:dyDescent="0.25">
      <c r="A66" t="s">
        <v>81</v>
      </c>
      <c r="B66" s="15" t="s">
        <v>119</v>
      </c>
      <c r="C66" s="4">
        <v>4</v>
      </c>
      <c r="D66" s="7">
        <v>3.2</v>
      </c>
      <c r="E66" s="28">
        <v>12.8</v>
      </c>
      <c r="F66" s="28">
        <f t="shared" si="22"/>
        <v>70.400000000000006</v>
      </c>
      <c r="G66" s="4">
        <f t="shared" si="23"/>
        <v>281.60000000000002</v>
      </c>
      <c r="H66" s="28">
        <v>293.48</v>
      </c>
      <c r="I66" s="28">
        <v>174.24</v>
      </c>
      <c r="J66" s="40">
        <f t="shared" si="24"/>
        <v>141.24980950417498</v>
      </c>
      <c r="K66" s="31">
        <f>(F66/$G$92)*Costs!$B$23</f>
        <v>104.12056086619538</v>
      </c>
      <c r="L66" s="31">
        <f t="shared" si="25"/>
        <v>245.37037037037035</v>
      </c>
      <c r="M66" s="31">
        <f t="shared" si="26"/>
        <v>19.62962962962963</v>
      </c>
      <c r="N66" s="40">
        <v>265</v>
      </c>
      <c r="O66" s="25">
        <f>Table13[[#This Row],[Total Selling Price / Unit (MVR)]]*Table13[[#This Row],[Qty 
(NOS)]]</f>
        <v>1060</v>
      </c>
      <c r="P66" s="64">
        <f t="shared" si="18"/>
        <v>800</v>
      </c>
      <c r="Q66" s="64">
        <v>200</v>
      </c>
      <c r="R66" s="64">
        <f t="shared" si="19"/>
        <v>160</v>
      </c>
      <c r="S66" s="7">
        <v>12.86</v>
      </c>
      <c r="T66" s="28">
        <f t="shared" si="20"/>
        <v>282.91999999999996</v>
      </c>
      <c r="U66" s="28">
        <v>293.48</v>
      </c>
      <c r="V66" s="7">
        <v>13.34</v>
      </c>
      <c r="W66" s="7">
        <v>3.2</v>
      </c>
      <c r="X66" s="28">
        <f t="shared" si="27"/>
        <v>563.20000000000005</v>
      </c>
      <c r="Y66" s="28">
        <v>145</v>
      </c>
      <c r="Z66" s="60">
        <f t="shared" si="21"/>
        <v>140.80000000000001</v>
      </c>
      <c r="AA66" s="70">
        <v>70.400000000000006</v>
      </c>
      <c r="AB66" s="28">
        <v>174.24</v>
      </c>
      <c r="AC66" s="28">
        <v>265</v>
      </c>
      <c r="AD66" s="25">
        <f t="shared" si="28"/>
        <v>205.7028</v>
      </c>
      <c r="AE66" s="25">
        <f t="shared" si="7"/>
        <v>222.15902400000002</v>
      </c>
      <c r="AF66" s="25">
        <f t="shared" si="29"/>
        <v>888.63609600000007</v>
      </c>
      <c r="AG66" s="25">
        <f t="shared" si="30"/>
        <v>344.4828</v>
      </c>
      <c r="AH66" s="25">
        <f t="shared" si="10"/>
        <v>372.04142400000001</v>
      </c>
      <c r="AI66" s="25">
        <f t="shared" si="31"/>
        <v>1488.165696</v>
      </c>
      <c r="AJ66" s="25">
        <f t="shared" si="12"/>
        <v>293.48</v>
      </c>
      <c r="AK66" s="25">
        <f t="shared" si="13"/>
        <v>316.95840000000004</v>
      </c>
      <c r="AL66" s="25">
        <f t="shared" si="32"/>
        <v>1267.8336000000002</v>
      </c>
      <c r="AM66" s="25">
        <f t="shared" si="33"/>
        <v>491.48</v>
      </c>
      <c r="AN66" s="25">
        <f t="shared" si="16"/>
        <v>530.79840000000002</v>
      </c>
      <c r="AO66" s="25">
        <f t="shared" si="34"/>
        <v>2123.1936000000001</v>
      </c>
      <c r="AP66" s="22">
        <f>Table13[[#This Row],[Total Selling Price / Unit (MVR)]]/Table13[[#This Row],[CNF / Unit
(MVR)]]</f>
        <v>3.764204545454545</v>
      </c>
      <c r="AQ66" s="36">
        <f>Table13[[#This Row],[Total Selling Price / Unit (MVR)]]-(Table13[[#This Row],[GST 8%
(MVR)]]+Table13[[#This Row],[Weighted max
expense (MVR)]])</f>
        <v>141.249809504175</v>
      </c>
      <c r="AR66" s="37">
        <f>Table13[[#This Row],[Profit / Unit (MVR)]]*Table13[[#This Row],[Qty 
(NOS)]]</f>
        <v>564.99923801670002</v>
      </c>
      <c r="AS66"/>
      <c r="AT66"/>
    </row>
    <row r="67" spans="1:46" x14ac:dyDescent="0.25">
      <c r="A67" t="s">
        <v>37</v>
      </c>
      <c r="B67" s="15" t="s">
        <v>119</v>
      </c>
      <c r="C67" s="4">
        <v>7</v>
      </c>
      <c r="D67" s="7">
        <v>2.46</v>
      </c>
      <c r="E67" s="28">
        <v>17.22</v>
      </c>
      <c r="F67" s="28">
        <f t="shared" ref="F67:F91" si="35">D67*22</f>
        <v>54.12</v>
      </c>
      <c r="G67" s="4">
        <f t="shared" ref="G67:G98" si="36">SUM(F67*C67)</f>
        <v>378.84</v>
      </c>
      <c r="H67" s="28">
        <v>195.58</v>
      </c>
      <c r="I67" s="28">
        <v>130.02000000000001</v>
      </c>
      <c r="J67" s="39">
        <f t="shared" ref="J67:J98" si="37">L67-K67</f>
        <v>58.846207723001186</v>
      </c>
      <c r="K67" s="30">
        <f>(F67/$G$92)*Costs!$B$23</f>
        <v>80.0426811658877</v>
      </c>
      <c r="L67" s="30">
        <f t="shared" ref="L67:L91" si="38">N67/1.08</f>
        <v>138.88888888888889</v>
      </c>
      <c r="M67" s="30">
        <f t="shared" ref="M67:M98" si="39">L67*0.08</f>
        <v>11.111111111111111</v>
      </c>
      <c r="N67" s="39">
        <v>150</v>
      </c>
      <c r="O67" s="25">
        <f>Table13[[#This Row],[Total Selling Price / Unit (MVR)]]*Table13[[#This Row],[Qty 
(NOS)]]</f>
        <v>1050</v>
      </c>
      <c r="P67" s="64">
        <f t="shared" si="18"/>
        <v>1260</v>
      </c>
      <c r="Q67" s="64">
        <v>180</v>
      </c>
      <c r="R67" s="64">
        <f t="shared" si="19"/>
        <v>144</v>
      </c>
      <c r="S67" s="7">
        <v>8.57</v>
      </c>
      <c r="T67" s="28">
        <f t="shared" ref="T67:T91" si="40">S67*22</f>
        <v>188.54000000000002</v>
      </c>
      <c r="U67" s="28">
        <v>195.58</v>
      </c>
      <c r="V67" s="7">
        <v>8.89</v>
      </c>
      <c r="W67" s="7">
        <v>2.46</v>
      </c>
      <c r="X67" s="28">
        <f t="shared" ref="X67:X91" si="41">Z67*C67</f>
        <v>757.68</v>
      </c>
      <c r="Y67" s="28">
        <v>110</v>
      </c>
      <c r="Z67" s="60">
        <f t="shared" si="21"/>
        <v>108.24</v>
      </c>
      <c r="AA67" s="69">
        <v>54.12</v>
      </c>
      <c r="AB67" s="28">
        <v>130.02000000000001</v>
      </c>
      <c r="AC67" s="28">
        <v>150</v>
      </c>
      <c r="AD67" s="25">
        <f t="shared" ref="AD67:AD91" si="42">V67*15.42</f>
        <v>137.0838</v>
      </c>
      <c r="AE67" s="25">
        <f t="shared" ref="AE67:AE91" si="43">AD67*1.08</f>
        <v>148.05050400000002</v>
      </c>
      <c r="AF67" s="25">
        <f t="shared" ref="AF67:AF98" si="44">C67*AE67</f>
        <v>1036.3535280000001</v>
      </c>
      <c r="AG67" s="25">
        <f t="shared" ref="AG67:AG91" si="45">(V67+9)*15.42</f>
        <v>275.86380000000003</v>
      </c>
      <c r="AH67" s="25">
        <f t="shared" ref="AH67:AH91" si="46">AG67*1.08</f>
        <v>297.93290400000006</v>
      </c>
      <c r="AI67" s="25">
        <f t="shared" ref="AI67:AI98" si="47">C67*AH67</f>
        <v>2085.5303280000003</v>
      </c>
      <c r="AJ67" s="25">
        <f t="shared" ref="AJ67:AJ91" si="48">V67*22</f>
        <v>195.58</v>
      </c>
      <c r="AK67" s="25">
        <f t="shared" ref="AK67:AK91" si="49">AJ67*1.08</f>
        <v>211.22640000000004</v>
      </c>
      <c r="AL67" s="25">
        <f t="shared" ref="AL67:AL98" si="50">C67*AK67</f>
        <v>1478.5848000000003</v>
      </c>
      <c r="AM67" s="25">
        <f t="shared" ref="AM67:AM91" si="51">(V67+9)*22</f>
        <v>393.58000000000004</v>
      </c>
      <c r="AN67" s="25">
        <f t="shared" ref="AN67:AN91" si="52">AM67*1.08</f>
        <v>425.06640000000004</v>
      </c>
      <c r="AO67" s="25">
        <f t="shared" ref="AO67:AO98" si="53">C67*AN67</f>
        <v>2975.4648000000002</v>
      </c>
      <c r="AP67" s="22">
        <f>Table13[[#This Row],[Total Selling Price / Unit (MVR)]]/Table13[[#This Row],[CNF / Unit
(MVR)]]</f>
        <v>2.7716186252771622</v>
      </c>
      <c r="AQ67" s="34">
        <f>Table13[[#This Row],[Total Selling Price / Unit (MVR)]]-(Table13[[#This Row],[GST 8%
(MVR)]]+Table13[[#This Row],[Weighted max
expense (MVR)]])</f>
        <v>58.846207723001186</v>
      </c>
      <c r="AR67" s="35">
        <f>Table13[[#This Row],[Profit / Unit (MVR)]]*Table13[[#This Row],[Qty 
(NOS)]]</f>
        <v>411.92345406100833</v>
      </c>
      <c r="AS67"/>
      <c r="AT67"/>
    </row>
    <row r="68" spans="1:46" x14ac:dyDescent="0.25">
      <c r="A68" t="s">
        <v>39</v>
      </c>
      <c r="B68" s="15" t="s">
        <v>119</v>
      </c>
      <c r="C68" s="4">
        <v>7</v>
      </c>
      <c r="D68" s="7">
        <v>2.46</v>
      </c>
      <c r="E68" s="28">
        <v>17.22</v>
      </c>
      <c r="F68" s="28">
        <f t="shared" si="35"/>
        <v>54.12</v>
      </c>
      <c r="G68" s="4">
        <f t="shared" si="36"/>
        <v>378.84</v>
      </c>
      <c r="H68" s="28">
        <v>195.58</v>
      </c>
      <c r="I68" s="28">
        <v>130.02000000000001</v>
      </c>
      <c r="J68" s="40">
        <f t="shared" si="37"/>
        <v>58.846207723001186</v>
      </c>
      <c r="K68" s="31">
        <f>(F68/$G$92)*Costs!$B$23</f>
        <v>80.0426811658877</v>
      </c>
      <c r="L68" s="31">
        <f t="shared" si="38"/>
        <v>138.88888888888889</v>
      </c>
      <c r="M68" s="31">
        <f t="shared" si="39"/>
        <v>11.111111111111111</v>
      </c>
      <c r="N68" s="40">
        <v>150</v>
      </c>
      <c r="O68" s="25">
        <f>Table13[[#This Row],[Total Selling Price / Unit (MVR)]]*Table13[[#This Row],[Qty 
(NOS)]]</f>
        <v>1050</v>
      </c>
      <c r="P68" s="64">
        <f t="shared" ref="P68:P91" si="54">Q68*C68</f>
        <v>1260</v>
      </c>
      <c r="Q68" s="64">
        <v>180</v>
      </c>
      <c r="R68" s="64">
        <f t="shared" ref="R68:R91" si="55">Q68*0.8</f>
        <v>144</v>
      </c>
      <c r="S68" s="7">
        <v>8.57</v>
      </c>
      <c r="T68" s="28">
        <f t="shared" si="40"/>
        <v>188.54000000000002</v>
      </c>
      <c r="U68" s="28">
        <v>195.58</v>
      </c>
      <c r="V68" s="7">
        <v>8.89</v>
      </c>
      <c r="W68" s="7">
        <v>2.46</v>
      </c>
      <c r="X68" s="28">
        <f t="shared" si="41"/>
        <v>757.68</v>
      </c>
      <c r="Y68" s="28">
        <v>110</v>
      </c>
      <c r="Z68" s="60">
        <f t="shared" ref="Z68:Z91" si="56">AA68*2</f>
        <v>108.24</v>
      </c>
      <c r="AA68" s="70">
        <v>54.12</v>
      </c>
      <c r="AB68" s="28">
        <v>130.02000000000001</v>
      </c>
      <c r="AC68" s="28">
        <v>150</v>
      </c>
      <c r="AD68" s="25">
        <f t="shared" si="42"/>
        <v>137.0838</v>
      </c>
      <c r="AE68" s="25">
        <f t="shared" si="43"/>
        <v>148.05050400000002</v>
      </c>
      <c r="AF68" s="25">
        <f t="shared" si="44"/>
        <v>1036.3535280000001</v>
      </c>
      <c r="AG68" s="25">
        <f t="shared" si="45"/>
        <v>275.86380000000003</v>
      </c>
      <c r="AH68" s="25">
        <f t="shared" si="46"/>
        <v>297.93290400000006</v>
      </c>
      <c r="AI68" s="25">
        <f t="shared" si="47"/>
        <v>2085.5303280000003</v>
      </c>
      <c r="AJ68" s="25">
        <f t="shared" si="48"/>
        <v>195.58</v>
      </c>
      <c r="AK68" s="25">
        <f t="shared" si="49"/>
        <v>211.22640000000004</v>
      </c>
      <c r="AL68" s="25">
        <f t="shared" si="50"/>
        <v>1478.5848000000003</v>
      </c>
      <c r="AM68" s="25">
        <f t="shared" si="51"/>
        <v>393.58000000000004</v>
      </c>
      <c r="AN68" s="25">
        <f t="shared" si="52"/>
        <v>425.06640000000004</v>
      </c>
      <c r="AO68" s="25">
        <f t="shared" si="53"/>
        <v>2975.4648000000002</v>
      </c>
      <c r="AP68" s="22">
        <f>Table13[[#This Row],[Total Selling Price / Unit (MVR)]]/Table13[[#This Row],[CNF / Unit
(MVR)]]</f>
        <v>2.7716186252771622</v>
      </c>
      <c r="AQ68" s="36">
        <f>Table13[[#This Row],[Total Selling Price / Unit (MVR)]]-(Table13[[#This Row],[GST 8%
(MVR)]]+Table13[[#This Row],[Weighted max
expense (MVR)]])</f>
        <v>58.846207723001186</v>
      </c>
      <c r="AR68" s="37">
        <f>Table13[[#This Row],[Profit / Unit (MVR)]]*Table13[[#This Row],[Qty 
(NOS)]]</f>
        <v>411.92345406100833</v>
      </c>
      <c r="AS68"/>
      <c r="AT68"/>
    </row>
    <row r="69" spans="1:46" x14ac:dyDescent="0.25">
      <c r="A69" t="s">
        <v>38</v>
      </c>
      <c r="B69" s="15" t="s">
        <v>119</v>
      </c>
      <c r="C69" s="4">
        <v>7</v>
      </c>
      <c r="D69" s="7">
        <v>2.46</v>
      </c>
      <c r="E69" s="28">
        <v>17.22</v>
      </c>
      <c r="F69" s="28">
        <f t="shared" si="35"/>
        <v>54.12</v>
      </c>
      <c r="G69" s="4">
        <f t="shared" si="36"/>
        <v>378.84</v>
      </c>
      <c r="H69" s="28">
        <v>195.58</v>
      </c>
      <c r="I69" s="28">
        <v>130.02000000000001</v>
      </c>
      <c r="J69" s="39">
        <f t="shared" si="37"/>
        <v>58.846207723001186</v>
      </c>
      <c r="K69" s="30">
        <f>(F69/$G$92)*Costs!$B$23</f>
        <v>80.0426811658877</v>
      </c>
      <c r="L69" s="30">
        <f t="shared" si="38"/>
        <v>138.88888888888889</v>
      </c>
      <c r="M69" s="30">
        <f t="shared" si="39"/>
        <v>11.111111111111111</v>
      </c>
      <c r="N69" s="39">
        <v>150</v>
      </c>
      <c r="O69" s="25">
        <f>Table13[[#This Row],[Total Selling Price / Unit (MVR)]]*Table13[[#This Row],[Qty 
(NOS)]]</f>
        <v>1050</v>
      </c>
      <c r="P69" s="64">
        <f t="shared" si="54"/>
        <v>1260</v>
      </c>
      <c r="Q69" s="64">
        <v>180</v>
      </c>
      <c r="R69" s="64">
        <f t="shared" si="55"/>
        <v>144</v>
      </c>
      <c r="S69" s="7">
        <v>8.57</v>
      </c>
      <c r="T69" s="28">
        <f t="shared" si="40"/>
        <v>188.54000000000002</v>
      </c>
      <c r="U69" s="28">
        <v>195.58</v>
      </c>
      <c r="V69" s="7">
        <v>8.89</v>
      </c>
      <c r="W69" s="7">
        <v>2.46</v>
      </c>
      <c r="X69" s="28">
        <f t="shared" si="41"/>
        <v>757.68</v>
      </c>
      <c r="Y69" s="28">
        <v>110</v>
      </c>
      <c r="Z69" s="60">
        <f t="shared" si="56"/>
        <v>108.24</v>
      </c>
      <c r="AA69" s="69">
        <v>54.12</v>
      </c>
      <c r="AB69" s="28">
        <v>130.02000000000001</v>
      </c>
      <c r="AC69" s="28">
        <v>150</v>
      </c>
      <c r="AD69" s="25">
        <f t="shared" si="42"/>
        <v>137.0838</v>
      </c>
      <c r="AE69" s="25">
        <f t="shared" si="43"/>
        <v>148.05050400000002</v>
      </c>
      <c r="AF69" s="25">
        <f t="shared" si="44"/>
        <v>1036.3535280000001</v>
      </c>
      <c r="AG69" s="25">
        <f t="shared" si="45"/>
        <v>275.86380000000003</v>
      </c>
      <c r="AH69" s="25">
        <f t="shared" si="46"/>
        <v>297.93290400000006</v>
      </c>
      <c r="AI69" s="25">
        <f t="shared" si="47"/>
        <v>2085.5303280000003</v>
      </c>
      <c r="AJ69" s="25">
        <f t="shared" si="48"/>
        <v>195.58</v>
      </c>
      <c r="AK69" s="25">
        <f t="shared" si="49"/>
        <v>211.22640000000004</v>
      </c>
      <c r="AL69" s="25">
        <f t="shared" si="50"/>
        <v>1478.5848000000003</v>
      </c>
      <c r="AM69" s="25">
        <f t="shared" si="51"/>
        <v>393.58000000000004</v>
      </c>
      <c r="AN69" s="25">
        <f t="shared" si="52"/>
        <v>425.06640000000004</v>
      </c>
      <c r="AO69" s="25">
        <f t="shared" si="53"/>
        <v>2975.4648000000002</v>
      </c>
      <c r="AP69" s="22">
        <f>Table13[[#This Row],[Total Selling Price / Unit (MVR)]]/Table13[[#This Row],[CNF / Unit
(MVR)]]</f>
        <v>2.7716186252771622</v>
      </c>
      <c r="AQ69" s="34">
        <f>Table13[[#This Row],[Total Selling Price / Unit (MVR)]]-(Table13[[#This Row],[GST 8%
(MVR)]]+Table13[[#This Row],[Weighted max
expense (MVR)]])</f>
        <v>58.846207723001186</v>
      </c>
      <c r="AR69" s="35">
        <f>Table13[[#This Row],[Profit / Unit (MVR)]]*Table13[[#This Row],[Qty 
(NOS)]]</f>
        <v>411.92345406100833</v>
      </c>
      <c r="AS69"/>
      <c r="AT69"/>
    </row>
    <row r="70" spans="1:46" x14ac:dyDescent="0.25">
      <c r="A70" t="s">
        <v>82</v>
      </c>
      <c r="B70" s="15" t="s">
        <v>119</v>
      </c>
      <c r="C70" s="4">
        <v>4</v>
      </c>
      <c r="D70" s="7">
        <v>3.2</v>
      </c>
      <c r="E70" s="28">
        <v>12.8</v>
      </c>
      <c r="F70" s="28">
        <f t="shared" si="35"/>
        <v>70.400000000000006</v>
      </c>
      <c r="G70" s="4">
        <f t="shared" si="36"/>
        <v>281.60000000000002</v>
      </c>
      <c r="H70" s="28">
        <v>293.48</v>
      </c>
      <c r="I70" s="28">
        <v>174.24</v>
      </c>
      <c r="J70" s="40">
        <f t="shared" si="37"/>
        <v>141.24980950417498</v>
      </c>
      <c r="K70" s="31">
        <f>(F70/$G$92)*Costs!$B$23</f>
        <v>104.12056086619538</v>
      </c>
      <c r="L70" s="31">
        <f t="shared" si="38"/>
        <v>245.37037037037035</v>
      </c>
      <c r="M70" s="31">
        <f t="shared" si="39"/>
        <v>19.62962962962963</v>
      </c>
      <c r="N70" s="40">
        <v>265</v>
      </c>
      <c r="O70" s="25">
        <f>Table13[[#This Row],[Total Selling Price / Unit (MVR)]]*Table13[[#This Row],[Qty 
(NOS)]]</f>
        <v>1060</v>
      </c>
      <c r="P70" s="64">
        <f t="shared" si="54"/>
        <v>800</v>
      </c>
      <c r="Q70" s="64">
        <v>200</v>
      </c>
      <c r="R70" s="64">
        <f t="shared" si="55"/>
        <v>160</v>
      </c>
      <c r="S70" s="7">
        <v>8.57</v>
      </c>
      <c r="T70" s="28">
        <f t="shared" si="40"/>
        <v>188.54000000000002</v>
      </c>
      <c r="U70" s="28">
        <v>293.48</v>
      </c>
      <c r="V70" s="7">
        <v>13.34</v>
      </c>
      <c r="W70" s="7">
        <v>3.2</v>
      </c>
      <c r="X70" s="28">
        <f t="shared" si="41"/>
        <v>563.20000000000005</v>
      </c>
      <c r="Y70" s="28">
        <v>145</v>
      </c>
      <c r="Z70" s="60">
        <f t="shared" si="56"/>
        <v>140.80000000000001</v>
      </c>
      <c r="AA70" s="70">
        <v>70.400000000000006</v>
      </c>
      <c r="AB70" s="28">
        <v>174.24</v>
      </c>
      <c r="AC70" s="28">
        <v>265</v>
      </c>
      <c r="AD70" s="25">
        <f t="shared" si="42"/>
        <v>205.7028</v>
      </c>
      <c r="AE70" s="25">
        <f t="shared" si="43"/>
        <v>222.15902400000002</v>
      </c>
      <c r="AF70" s="25">
        <f t="shared" si="44"/>
        <v>888.63609600000007</v>
      </c>
      <c r="AG70" s="25">
        <f t="shared" si="45"/>
        <v>344.4828</v>
      </c>
      <c r="AH70" s="25">
        <f t="shared" si="46"/>
        <v>372.04142400000001</v>
      </c>
      <c r="AI70" s="25">
        <f t="shared" si="47"/>
        <v>1488.165696</v>
      </c>
      <c r="AJ70" s="25">
        <f t="shared" si="48"/>
        <v>293.48</v>
      </c>
      <c r="AK70" s="25">
        <f t="shared" si="49"/>
        <v>316.95840000000004</v>
      </c>
      <c r="AL70" s="25">
        <f t="shared" si="50"/>
        <v>1267.8336000000002</v>
      </c>
      <c r="AM70" s="25">
        <f t="shared" si="51"/>
        <v>491.48</v>
      </c>
      <c r="AN70" s="25">
        <f t="shared" si="52"/>
        <v>530.79840000000002</v>
      </c>
      <c r="AO70" s="25">
        <f t="shared" si="53"/>
        <v>2123.1936000000001</v>
      </c>
      <c r="AP70" s="22">
        <f>Table13[[#This Row],[Total Selling Price / Unit (MVR)]]/Table13[[#This Row],[CNF / Unit
(MVR)]]</f>
        <v>3.764204545454545</v>
      </c>
      <c r="AQ70" s="36">
        <f>Table13[[#This Row],[Total Selling Price / Unit (MVR)]]-(Table13[[#This Row],[GST 8%
(MVR)]]+Table13[[#This Row],[Weighted max
expense (MVR)]])</f>
        <v>141.249809504175</v>
      </c>
      <c r="AR70" s="37">
        <f>Table13[[#This Row],[Profit / Unit (MVR)]]*Table13[[#This Row],[Qty 
(NOS)]]</f>
        <v>564.99923801670002</v>
      </c>
      <c r="AS70"/>
      <c r="AT70"/>
    </row>
    <row r="71" spans="1:46" x14ac:dyDescent="0.25">
      <c r="A71" t="s">
        <v>42</v>
      </c>
      <c r="B71" s="15" t="s">
        <v>119</v>
      </c>
      <c r="C71" s="4">
        <v>7</v>
      </c>
      <c r="D71" s="7">
        <v>3.73</v>
      </c>
      <c r="E71" s="28">
        <v>26.11</v>
      </c>
      <c r="F71" s="28">
        <f t="shared" si="35"/>
        <v>82.06</v>
      </c>
      <c r="G71" s="4">
        <f t="shared" si="36"/>
        <v>574.42000000000007</v>
      </c>
      <c r="H71" s="28">
        <v>570.68000000000006</v>
      </c>
      <c r="I71" s="28">
        <v>167.85999999999999</v>
      </c>
      <c r="J71" s="39">
        <f t="shared" si="37"/>
        <v>192.52336012922987</v>
      </c>
      <c r="K71" s="30">
        <f>(F71/$G$92)*Costs!$B$23</f>
        <v>121.36552875965899</v>
      </c>
      <c r="L71" s="30">
        <f t="shared" si="38"/>
        <v>313.88888888888886</v>
      </c>
      <c r="M71" s="30">
        <f t="shared" si="39"/>
        <v>25.111111111111111</v>
      </c>
      <c r="N71" s="39">
        <v>339</v>
      </c>
      <c r="O71" s="25">
        <f>Table13[[#This Row],[Total Selling Price / Unit (MVR)]]*Table13[[#This Row],[Qty 
(NOS)]]</f>
        <v>2373</v>
      </c>
      <c r="P71" s="64">
        <f t="shared" si="54"/>
        <v>1540</v>
      </c>
      <c r="Q71" s="64">
        <v>220</v>
      </c>
      <c r="R71" s="64">
        <f t="shared" si="55"/>
        <v>176</v>
      </c>
      <c r="S71" s="7">
        <v>25</v>
      </c>
      <c r="T71" s="28">
        <f t="shared" si="40"/>
        <v>550</v>
      </c>
      <c r="U71" s="28">
        <v>570.68000000000006</v>
      </c>
      <c r="V71" s="7">
        <v>25.94</v>
      </c>
      <c r="W71" s="7">
        <v>3.73</v>
      </c>
      <c r="X71" s="28">
        <f t="shared" si="41"/>
        <v>1148.8400000000001</v>
      </c>
      <c r="Y71" s="28">
        <v>165</v>
      </c>
      <c r="Z71" s="60">
        <f t="shared" si="56"/>
        <v>164.12</v>
      </c>
      <c r="AA71" s="69">
        <v>82.06</v>
      </c>
      <c r="AB71" s="28">
        <v>167.85999999999999</v>
      </c>
      <c r="AC71" s="28">
        <v>339</v>
      </c>
      <c r="AD71" s="25">
        <f t="shared" si="42"/>
        <v>399.9948</v>
      </c>
      <c r="AE71" s="25">
        <f t="shared" si="43"/>
        <v>431.99438400000003</v>
      </c>
      <c r="AF71" s="25">
        <f t="shared" si="44"/>
        <v>3023.9606880000001</v>
      </c>
      <c r="AG71" s="25">
        <f t="shared" si="45"/>
        <v>538.77479999999991</v>
      </c>
      <c r="AH71" s="25">
        <f t="shared" si="46"/>
        <v>581.87678399999993</v>
      </c>
      <c r="AI71" s="25">
        <f t="shared" si="47"/>
        <v>4073.1374879999994</v>
      </c>
      <c r="AJ71" s="25">
        <f t="shared" si="48"/>
        <v>570.68000000000006</v>
      </c>
      <c r="AK71" s="25">
        <f t="shared" si="49"/>
        <v>616.33440000000007</v>
      </c>
      <c r="AL71" s="25">
        <f t="shared" si="50"/>
        <v>4314.3408000000009</v>
      </c>
      <c r="AM71" s="25">
        <f t="shared" si="51"/>
        <v>768.68</v>
      </c>
      <c r="AN71" s="25">
        <f t="shared" si="52"/>
        <v>830.17439999999999</v>
      </c>
      <c r="AO71" s="25">
        <f t="shared" si="53"/>
        <v>5811.2208000000001</v>
      </c>
      <c r="AP71" s="22">
        <f>Table13[[#This Row],[Total Selling Price / Unit (MVR)]]/Table13[[#This Row],[CNF / Unit
(MVR)]]</f>
        <v>4.1311235681208869</v>
      </c>
      <c r="AQ71" s="34">
        <f>Table13[[#This Row],[Total Selling Price / Unit (MVR)]]-(Table13[[#This Row],[GST 8%
(MVR)]]+Table13[[#This Row],[Weighted max
expense (MVR)]])</f>
        <v>192.5233601292299</v>
      </c>
      <c r="AR71" s="35">
        <f>Table13[[#This Row],[Profit / Unit (MVR)]]*Table13[[#This Row],[Qty 
(NOS)]]</f>
        <v>1347.6635209046094</v>
      </c>
      <c r="AS71"/>
      <c r="AT71"/>
    </row>
    <row r="72" spans="1:46" x14ac:dyDescent="0.25">
      <c r="A72" t="s">
        <v>83</v>
      </c>
      <c r="B72" s="15" t="s">
        <v>119</v>
      </c>
      <c r="C72" s="4">
        <v>4</v>
      </c>
      <c r="D72" s="7">
        <v>3.73</v>
      </c>
      <c r="E72" s="28">
        <v>14.92</v>
      </c>
      <c r="F72" s="28">
        <f t="shared" si="35"/>
        <v>82.06</v>
      </c>
      <c r="G72" s="4">
        <f t="shared" si="36"/>
        <v>328.24</v>
      </c>
      <c r="H72" s="28">
        <v>570.68000000000006</v>
      </c>
      <c r="I72" s="28">
        <v>167.85999999999999</v>
      </c>
      <c r="J72" s="40">
        <f t="shared" si="37"/>
        <v>192.52336012922987</v>
      </c>
      <c r="K72" s="31">
        <f>(F72/$G$92)*Costs!$B$23</f>
        <v>121.36552875965899</v>
      </c>
      <c r="L72" s="31">
        <f t="shared" si="38"/>
        <v>313.88888888888886</v>
      </c>
      <c r="M72" s="31">
        <f t="shared" si="39"/>
        <v>25.111111111111111</v>
      </c>
      <c r="N72" s="40">
        <v>339</v>
      </c>
      <c r="O72" s="25">
        <f>Table13[[#This Row],[Total Selling Price / Unit (MVR)]]*Table13[[#This Row],[Qty 
(NOS)]]</f>
        <v>1356</v>
      </c>
      <c r="P72" s="64">
        <f t="shared" si="54"/>
        <v>880</v>
      </c>
      <c r="Q72" s="64">
        <v>220</v>
      </c>
      <c r="R72" s="64">
        <f t="shared" si="55"/>
        <v>176</v>
      </c>
      <c r="S72" s="7">
        <v>25</v>
      </c>
      <c r="T72" s="28">
        <f t="shared" si="40"/>
        <v>550</v>
      </c>
      <c r="U72" s="28">
        <v>570.68000000000006</v>
      </c>
      <c r="V72" s="7">
        <v>25.94</v>
      </c>
      <c r="W72" s="7">
        <v>3.73</v>
      </c>
      <c r="X72" s="28">
        <f t="shared" si="41"/>
        <v>656.48</v>
      </c>
      <c r="Y72" s="28">
        <v>165</v>
      </c>
      <c r="Z72" s="60">
        <f t="shared" si="56"/>
        <v>164.12</v>
      </c>
      <c r="AA72" s="70">
        <v>82.06</v>
      </c>
      <c r="AB72" s="28">
        <v>167.85999999999999</v>
      </c>
      <c r="AC72" s="28">
        <v>339</v>
      </c>
      <c r="AD72" s="25">
        <f t="shared" si="42"/>
        <v>399.9948</v>
      </c>
      <c r="AE72" s="25">
        <f t="shared" si="43"/>
        <v>431.99438400000003</v>
      </c>
      <c r="AF72" s="25">
        <f t="shared" si="44"/>
        <v>1727.9775360000001</v>
      </c>
      <c r="AG72" s="25">
        <f t="shared" si="45"/>
        <v>538.77479999999991</v>
      </c>
      <c r="AH72" s="25">
        <f t="shared" si="46"/>
        <v>581.87678399999993</v>
      </c>
      <c r="AI72" s="25">
        <f t="shared" si="47"/>
        <v>2327.5071359999997</v>
      </c>
      <c r="AJ72" s="25">
        <f t="shared" si="48"/>
        <v>570.68000000000006</v>
      </c>
      <c r="AK72" s="25">
        <f t="shared" si="49"/>
        <v>616.33440000000007</v>
      </c>
      <c r="AL72" s="25">
        <f t="shared" si="50"/>
        <v>2465.3376000000003</v>
      </c>
      <c r="AM72" s="25">
        <f t="shared" si="51"/>
        <v>768.68</v>
      </c>
      <c r="AN72" s="25">
        <f t="shared" si="52"/>
        <v>830.17439999999999</v>
      </c>
      <c r="AO72" s="25">
        <f t="shared" si="53"/>
        <v>3320.6976</v>
      </c>
      <c r="AP72" s="22">
        <f>Table13[[#This Row],[Total Selling Price / Unit (MVR)]]/Table13[[#This Row],[CNF / Unit
(MVR)]]</f>
        <v>4.1311235681208869</v>
      </c>
      <c r="AQ72" s="36">
        <f>Table13[[#This Row],[Total Selling Price / Unit (MVR)]]-(Table13[[#This Row],[GST 8%
(MVR)]]+Table13[[#This Row],[Weighted max
expense (MVR)]])</f>
        <v>192.5233601292299</v>
      </c>
      <c r="AR72" s="37">
        <f>Table13[[#This Row],[Profit / Unit (MVR)]]*Table13[[#This Row],[Qty 
(NOS)]]</f>
        <v>770.0934405169196</v>
      </c>
      <c r="AS72"/>
      <c r="AT72"/>
    </row>
    <row r="73" spans="1:46" x14ac:dyDescent="0.25">
      <c r="A73" t="s">
        <v>41</v>
      </c>
      <c r="B73" s="15" t="s">
        <v>119</v>
      </c>
      <c r="C73" s="4">
        <v>7</v>
      </c>
      <c r="D73" s="7">
        <v>6.28</v>
      </c>
      <c r="E73" s="28">
        <v>43.96</v>
      </c>
      <c r="F73" s="28">
        <f t="shared" si="35"/>
        <v>138.16</v>
      </c>
      <c r="G73" s="4">
        <f t="shared" si="36"/>
        <v>967.12</v>
      </c>
      <c r="H73" s="28">
        <v>244.64</v>
      </c>
      <c r="I73" s="28">
        <v>214.5</v>
      </c>
      <c r="J73" s="39">
        <f t="shared" si="37"/>
        <v>13.255991892684165</v>
      </c>
      <c r="K73" s="30">
        <f>(F73/$G$92)*Costs!$B$23</f>
        <v>204.33660069990842</v>
      </c>
      <c r="L73" s="30">
        <f t="shared" si="38"/>
        <v>217.59259259259258</v>
      </c>
      <c r="M73" s="30">
        <f t="shared" si="39"/>
        <v>17.407407407407408</v>
      </c>
      <c r="N73" s="39">
        <v>235</v>
      </c>
      <c r="O73" s="25">
        <f>Table13[[#This Row],[Total Selling Price / Unit (MVR)]]*Table13[[#This Row],[Qty 
(NOS)]]</f>
        <v>1645</v>
      </c>
      <c r="P73" s="64">
        <f t="shared" si="54"/>
        <v>2310</v>
      </c>
      <c r="Q73" s="64">
        <v>330</v>
      </c>
      <c r="R73" s="64">
        <f t="shared" si="55"/>
        <v>264</v>
      </c>
      <c r="S73" s="7">
        <v>23.57</v>
      </c>
      <c r="T73" s="28">
        <f t="shared" si="40"/>
        <v>518.54</v>
      </c>
      <c r="U73" s="28">
        <v>244.64</v>
      </c>
      <c r="V73" s="7">
        <v>11.12</v>
      </c>
      <c r="W73" s="7">
        <v>6.28</v>
      </c>
      <c r="X73" s="28">
        <f t="shared" si="41"/>
        <v>1934.24</v>
      </c>
      <c r="Y73" s="28">
        <v>280</v>
      </c>
      <c r="Z73" s="60">
        <f t="shared" si="56"/>
        <v>276.32</v>
      </c>
      <c r="AA73" s="69">
        <v>138.16</v>
      </c>
      <c r="AB73" s="28">
        <v>214.5</v>
      </c>
      <c r="AC73" s="28">
        <v>235</v>
      </c>
      <c r="AD73" s="25">
        <f t="shared" si="42"/>
        <v>171.47039999999998</v>
      </c>
      <c r="AE73" s="25">
        <f t="shared" si="43"/>
        <v>185.18803199999999</v>
      </c>
      <c r="AF73" s="25">
        <f t="shared" si="44"/>
        <v>1296.3162239999999</v>
      </c>
      <c r="AG73" s="25">
        <f t="shared" si="45"/>
        <v>310.25039999999996</v>
      </c>
      <c r="AH73" s="25">
        <f t="shared" si="46"/>
        <v>335.07043199999998</v>
      </c>
      <c r="AI73" s="25">
        <f t="shared" si="47"/>
        <v>2345.4930239999999</v>
      </c>
      <c r="AJ73" s="25">
        <f t="shared" si="48"/>
        <v>244.64</v>
      </c>
      <c r="AK73" s="25">
        <f t="shared" si="49"/>
        <v>264.21120000000002</v>
      </c>
      <c r="AL73" s="25">
        <f t="shared" si="50"/>
        <v>1849.4784000000002</v>
      </c>
      <c r="AM73" s="25">
        <f t="shared" si="51"/>
        <v>442.63999999999993</v>
      </c>
      <c r="AN73" s="25">
        <f t="shared" si="52"/>
        <v>478.05119999999994</v>
      </c>
      <c r="AO73" s="25">
        <f t="shared" si="53"/>
        <v>3346.3583999999996</v>
      </c>
      <c r="AP73" s="22">
        <f>Table13[[#This Row],[Total Selling Price / Unit (MVR)]]/Table13[[#This Row],[CNF / Unit
(MVR)]]</f>
        <v>1.7009264620729589</v>
      </c>
      <c r="AQ73" s="34">
        <f>Table13[[#This Row],[Total Selling Price / Unit (MVR)]]-(Table13[[#This Row],[GST 8%
(MVR)]]+Table13[[#This Row],[Weighted max
expense (MVR)]])</f>
        <v>13.255991892684165</v>
      </c>
      <c r="AR73" s="35">
        <f>Table13[[#This Row],[Profit / Unit (MVR)]]*Table13[[#This Row],[Qty 
(NOS)]]</f>
        <v>92.791943248789153</v>
      </c>
      <c r="AS73"/>
      <c r="AT73"/>
    </row>
    <row r="74" spans="1:46" x14ac:dyDescent="0.25">
      <c r="A74" t="s">
        <v>40</v>
      </c>
      <c r="B74" s="15" t="s">
        <v>119</v>
      </c>
      <c r="C74" s="4">
        <v>7</v>
      </c>
      <c r="D74" s="7">
        <v>6.24</v>
      </c>
      <c r="E74" s="28">
        <v>43.68</v>
      </c>
      <c r="F74" s="28">
        <f t="shared" si="35"/>
        <v>137.28</v>
      </c>
      <c r="G74" s="4">
        <f t="shared" si="36"/>
        <v>960.96</v>
      </c>
      <c r="H74" s="28">
        <v>244.64</v>
      </c>
      <c r="I74" s="28">
        <v>232.98</v>
      </c>
      <c r="J74" s="40">
        <f t="shared" si="37"/>
        <v>9.9278692738819814</v>
      </c>
      <c r="K74" s="57">
        <f>(F74/$G$92)*Costs!$B$23</f>
        <v>203.03509368908098</v>
      </c>
      <c r="L74" s="57">
        <f t="shared" si="38"/>
        <v>212.96296296296296</v>
      </c>
      <c r="M74" s="57">
        <f t="shared" si="39"/>
        <v>17.037037037037038</v>
      </c>
      <c r="N74" s="40">
        <v>230</v>
      </c>
      <c r="O74" s="27">
        <f>Table13[[#This Row],[Total Selling Price / Unit (MVR)]]*Table13[[#This Row],[Qty 
(NOS)]]</f>
        <v>1610</v>
      </c>
      <c r="P74" s="64">
        <f t="shared" si="54"/>
        <v>2240</v>
      </c>
      <c r="Q74" s="65">
        <v>320</v>
      </c>
      <c r="R74" s="64">
        <f t="shared" si="55"/>
        <v>256</v>
      </c>
      <c r="S74" s="7">
        <v>23.57</v>
      </c>
      <c r="T74" s="28">
        <f t="shared" si="40"/>
        <v>518.54</v>
      </c>
      <c r="U74" s="28">
        <v>244.64</v>
      </c>
      <c r="V74" s="7">
        <v>11.12</v>
      </c>
      <c r="W74" s="7">
        <v>6.24</v>
      </c>
      <c r="X74" s="28">
        <f t="shared" si="41"/>
        <v>1921.92</v>
      </c>
      <c r="Y74" s="28">
        <v>275</v>
      </c>
      <c r="Z74" s="60">
        <f t="shared" si="56"/>
        <v>274.56</v>
      </c>
      <c r="AA74" s="70">
        <v>137.28</v>
      </c>
      <c r="AB74" s="28">
        <v>232.98</v>
      </c>
      <c r="AC74" s="28">
        <v>230</v>
      </c>
      <c r="AD74" s="27">
        <f t="shared" si="42"/>
        <v>171.47039999999998</v>
      </c>
      <c r="AE74" s="25">
        <f t="shared" si="43"/>
        <v>185.18803199999999</v>
      </c>
      <c r="AF74" s="25">
        <f t="shared" si="44"/>
        <v>1296.3162239999999</v>
      </c>
      <c r="AG74" s="25">
        <f t="shared" si="45"/>
        <v>310.25039999999996</v>
      </c>
      <c r="AH74" s="25">
        <f t="shared" si="46"/>
        <v>335.07043199999998</v>
      </c>
      <c r="AI74" s="25">
        <f t="shared" si="47"/>
        <v>2345.4930239999999</v>
      </c>
      <c r="AJ74" s="25">
        <f t="shared" si="48"/>
        <v>244.64</v>
      </c>
      <c r="AK74" s="25">
        <f t="shared" si="49"/>
        <v>264.21120000000002</v>
      </c>
      <c r="AL74" s="25">
        <f t="shared" si="50"/>
        <v>1849.4784000000002</v>
      </c>
      <c r="AM74" s="25">
        <f t="shared" si="51"/>
        <v>442.63999999999993</v>
      </c>
      <c r="AN74" s="27">
        <f t="shared" si="52"/>
        <v>478.05119999999994</v>
      </c>
      <c r="AO74" s="27">
        <f t="shared" si="53"/>
        <v>3346.3583999999996</v>
      </c>
      <c r="AP74" s="41">
        <f>Table13[[#This Row],[Total Selling Price / Unit (MVR)]]/Table13[[#This Row],[CNF / Unit
(MVR)]]</f>
        <v>1.6754079254079255</v>
      </c>
      <c r="AQ74" s="58">
        <f>Table13[[#This Row],[Total Selling Price / Unit (MVR)]]-(Table13[[#This Row],[GST 8%
(MVR)]]+Table13[[#This Row],[Weighted max
expense (MVR)]])</f>
        <v>9.9278692738819814</v>
      </c>
      <c r="AR74" s="59">
        <f>Table13[[#This Row],[Profit / Unit (MVR)]]*Table13[[#This Row],[Qty 
(NOS)]]</f>
        <v>69.49508491717387</v>
      </c>
      <c r="AS74"/>
      <c r="AT74"/>
    </row>
    <row r="75" spans="1:46" x14ac:dyDescent="0.25">
      <c r="A75" t="s">
        <v>84</v>
      </c>
      <c r="B75" s="15" t="s">
        <v>119</v>
      </c>
      <c r="C75" s="4">
        <v>4</v>
      </c>
      <c r="D75" s="7">
        <v>6.85</v>
      </c>
      <c r="E75" s="28">
        <v>27.4</v>
      </c>
      <c r="F75" s="28">
        <f t="shared" si="35"/>
        <v>150.69999999999999</v>
      </c>
      <c r="G75" s="4">
        <f t="shared" si="36"/>
        <v>602.79999999999995</v>
      </c>
      <c r="H75" s="28">
        <v>652.08000000000004</v>
      </c>
      <c r="I75" s="28">
        <v>247.72</v>
      </c>
      <c r="J75" s="39">
        <f t="shared" si="37"/>
        <v>100.26507254394869</v>
      </c>
      <c r="K75" s="30">
        <f>(F75/$G$92)*Costs!$B$23</f>
        <v>222.88307560419946</v>
      </c>
      <c r="L75" s="30">
        <f t="shared" si="38"/>
        <v>323.14814814814815</v>
      </c>
      <c r="M75" s="30">
        <f t="shared" si="39"/>
        <v>25.851851851851851</v>
      </c>
      <c r="N75" s="39">
        <v>349</v>
      </c>
      <c r="O75" s="25">
        <f>Table13[[#This Row],[Total Selling Price / Unit (MVR)]]*Table13[[#This Row],[Qty 
(NOS)]]</f>
        <v>1396</v>
      </c>
      <c r="P75" s="64">
        <f t="shared" si="54"/>
        <v>1360</v>
      </c>
      <c r="Q75" s="64">
        <v>340</v>
      </c>
      <c r="R75" s="64">
        <f t="shared" si="55"/>
        <v>272</v>
      </c>
      <c r="S75" s="7">
        <v>28.57</v>
      </c>
      <c r="T75" s="28">
        <f t="shared" si="40"/>
        <v>628.54</v>
      </c>
      <c r="U75" s="28">
        <v>652.08000000000004</v>
      </c>
      <c r="V75" s="7">
        <v>29.64</v>
      </c>
      <c r="W75" s="7">
        <v>6.85</v>
      </c>
      <c r="X75" s="28">
        <f t="shared" si="41"/>
        <v>1205.5999999999999</v>
      </c>
      <c r="Y75" s="28">
        <v>305</v>
      </c>
      <c r="Z75" s="60">
        <f t="shared" si="56"/>
        <v>301.39999999999998</v>
      </c>
      <c r="AA75" s="69">
        <v>150.69999999999999</v>
      </c>
      <c r="AB75" s="28">
        <v>247.72</v>
      </c>
      <c r="AC75" s="28">
        <v>349</v>
      </c>
      <c r="AD75" s="25">
        <f t="shared" si="42"/>
        <v>457.04880000000003</v>
      </c>
      <c r="AE75" s="25">
        <f t="shared" si="43"/>
        <v>493.61270400000006</v>
      </c>
      <c r="AF75" s="25">
        <f t="shared" si="44"/>
        <v>1974.4508160000003</v>
      </c>
      <c r="AG75" s="25">
        <f t="shared" si="45"/>
        <v>595.8288</v>
      </c>
      <c r="AH75" s="25">
        <f t="shared" si="46"/>
        <v>643.49510400000008</v>
      </c>
      <c r="AI75" s="25">
        <f t="shared" si="47"/>
        <v>2573.9804160000003</v>
      </c>
      <c r="AJ75" s="25">
        <f t="shared" si="48"/>
        <v>652.08000000000004</v>
      </c>
      <c r="AK75" s="25">
        <f t="shared" si="49"/>
        <v>704.24640000000011</v>
      </c>
      <c r="AL75" s="25">
        <f t="shared" si="50"/>
        <v>2816.9856000000004</v>
      </c>
      <c r="AM75" s="25">
        <f t="shared" si="51"/>
        <v>850.08</v>
      </c>
      <c r="AN75" s="25">
        <f t="shared" si="52"/>
        <v>918.08640000000014</v>
      </c>
      <c r="AO75" s="25">
        <f t="shared" si="53"/>
        <v>3672.3456000000006</v>
      </c>
      <c r="AP75" s="22">
        <f>Table13[[#This Row],[Total Selling Price / Unit (MVR)]]/Table13[[#This Row],[CNF / Unit
(MVR)]]</f>
        <v>2.3158593231585933</v>
      </c>
      <c r="AQ75" s="34">
        <f>Table13[[#This Row],[Total Selling Price / Unit (MVR)]]-(Table13[[#This Row],[GST 8%
(MVR)]]+Table13[[#This Row],[Weighted max
expense (MVR)]])</f>
        <v>100.26507254394869</v>
      </c>
      <c r="AR75" s="35">
        <f>Table13[[#This Row],[Profit / Unit (MVR)]]*Table13[[#This Row],[Qty 
(NOS)]]</f>
        <v>401.06029017579476</v>
      </c>
      <c r="AS75"/>
      <c r="AT75"/>
    </row>
    <row r="76" spans="1:46" x14ac:dyDescent="0.25">
      <c r="A76" t="s">
        <v>88</v>
      </c>
      <c r="B76" s="16" t="s">
        <v>120</v>
      </c>
      <c r="C76" s="4">
        <v>4</v>
      </c>
      <c r="D76" s="7">
        <v>4.74</v>
      </c>
      <c r="E76" s="28">
        <v>18.96</v>
      </c>
      <c r="F76" s="28">
        <f t="shared" si="35"/>
        <v>104.28</v>
      </c>
      <c r="G76" s="4">
        <f t="shared" si="36"/>
        <v>417.12</v>
      </c>
      <c r="H76" s="28" t="s">
        <v>114</v>
      </c>
      <c r="I76" s="28">
        <v>222.42</v>
      </c>
      <c r="J76" s="40">
        <f t="shared" si="37"/>
        <v>122.62327106879994</v>
      </c>
      <c r="K76" s="31">
        <f>(F76/$G$92)*Costs!$B$23</f>
        <v>154.22858078305191</v>
      </c>
      <c r="L76" s="31">
        <f t="shared" si="38"/>
        <v>276.85185185185185</v>
      </c>
      <c r="M76" s="31">
        <f t="shared" si="39"/>
        <v>22.148148148148149</v>
      </c>
      <c r="N76" s="40">
        <v>299</v>
      </c>
      <c r="O76" s="25">
        <f>Table13[[#This Row],[Total Selling Price / Unit (MVR)]]*Table13[[#This Row],[Qty 
(NOS)]]</f>
        <v>1196</v>
      </c>
      <c r="P76" s="64">
        <f t="shared" si="54"/>
        <v>1200</v>
      </c>
      <c r="Q76" s="64">
        <v>300</v>
      </c>
      <c r="R76" s="64">
        <f t="shared" si="55"/>
        <v>240</v>
      </c>
      <c r="S76" s="7">
        <v>14.29</v>
      </c>
      <c r="T76" s="28">
        <f t="shared" si="40"/>
        <v>314.38</v>
      </c>
      <c r="U76" s="28" t="s">
        <v>114</v>
      </c>
      <c r="V76" s="61">
        <v>14.8</v>
      </c>
      <c r="W76" s="7">
        <v>4.74</v>
      </c>
      <c r="X76" s="28">
        <f t="shared" si="41"/>
        <v>834.24</v>
      </c>
      <c r="Y76" s="28">
        <v>210</v>
      </c>
      <c r="Z76" s="60">
        <f t="shared" si="56"/>
        <v>208.56</v>
      </c>
      <c r="AA76" s="70">
        <v>104.28</v>
      </c>
      <c r="AB76" s="28">
        <v>222.42</v>
      </c>
      <c r="AC76" s="28">
        <v>299</v>
      </c>
      <c r="AD76" s="25">
        <f t="shared" si="42"/>
        <v>228.21600000000001</v>
      </c>
      <c r="AE76" s="25">
        <f t="shared" si="43"/>
        <v>246.47328000000002</v>
      </c>
      <c r="AF76" s="25">
        <f t="shared" si="44"/>
        <v>985.89312000000007</v>
      </c>
      <c r="AG76" s="25">
        <f t="shared" si="45"/>
        <v>366.99599999999998</v>
      </c>
      <c r="AH76" s="25">
        <f t="shared" si="46"/>
        <v>396.35568000000001</v>
      </c>
      <c r="AI76" s="25">
        <f t="shared" si="47"/>
        <v>1585.42272</v>
      </c>
      <c r="AJ76" s="25">
        <f t="shared" si="48"/>
        <v>325.60000000000002</v>
      </c>
      <c r="AK76" s="25">
        <f t="shared" si="49"/>
        <v>351.64800000000002</v>
      </c>
      <c r="AL76" s="25">
        <f t="shared" si="50"/>
        <v>1406.5920000000001</v>
      </c>
      <c r="AM76" s="25">
        <f t="shared" si="51"/>
        <v>523.6</v>
      </c>
      <c r="AN76" s="25">
        <f t="shared" si="52"/>
        <v>565.48800000000006</v>
      </c>
      <c r="AO76" s="25">
        <f t="shared" si="53"/>
        <v>2261.9520000000002</v>
      </c>
      <c r="AP76" s="22">
        <f>Table13[[#This Row],[Total Selling Price / Unit (MVR)]]/Table13[[#This Row],[CNF / Unit
(MVR)]]</f>
        <v>2.8672803989259683</v>
      </c>
      <c r="AQ76" s="36">
        <f>Table13[[#This Row],[Total Selling Price / Unit (MVR)]]-(Table13[[#This Row],[GST 8%
(MVR)]]+Table13[[#This Row],[Weighted max
expense (MVR)]])</f>
        <v>122.62327106879994</v>
      </c>
      <c r="AR76" s="37">
        <f>Table13[[#This Row],[Profit / Unit (MVR)]]*Table13[[#This Row],[Qty 
(NOS)]]</f>
        <v>490.49308427519975</v>
      </c>
      <c r="AS76"/>
      <c r="AT76"/>
    </row>
    <row r="77" spans="1:46" x14ac:dyDescent="0.25">
      <c r="A77" t="s">
        <v>44</v>
      </c>
      <c r="B77" s="16" t="s">
        <v>120</v>
      </c>
      <c r="C77" s="4">
        <v>7</v>
      </c>
      <c r="D77" s="7">
        <v>6.92</v>
      </c>
      <c r="E77" s="28">
        <v>48.44</v>
      </c>
      <c r="F77" s="28">
        <f t="shared" si="35"/>
        <v>152.24</v>
      </c>
      <c r="G77" s="4">
        <f t="shared" si="36"/>
        <v>1065.68</v>
      </c>
      <c r="H77" s="28">
        <v>407.66</v>
      </c>
      <c r="I77" s="28">
        <v>356.84</v>
      </c>
      <c r="J77" s="39">
        <f t="shared" si="37"/>
        <v>135.02447231203766</v>
      </c>
      <c r="K77" s="30">
        <f>(F77/$G$92)*Costs!$B$23</f>
        <v>225.1607128731475</v>
      </c>
      <c r="L77" s="30">
        <f t="shared" si="38"/>
        <v>360.18518518518516</v>
      </c>
      <c r="M77" s="30">
        <f t="shared" si="39"/>
        <v>28.814814814814813</v>
      </c>
      <c r="N77" s="39">
        <v>389</v>
      </c>
      <c r="O77" s="25">
        <f>Table13[[#This Row],[Total Selling Price / Unit (MVR)]]*Table13[[#This Row],[Qty 
(NOS)]]</f>
        <v>2723</v>
      </c>
      <c r="P77" s="64">
        <f t="shared" si="54"/>
        <v>2730</v>
      </c>
      <c r="Q77" s="64">
        <v>390</v>
      </c>
      <c r="R77" s="64">
        <f t="shared" si="55"/>
        <v>312</v>
      </c>
      <c r="S77" s="7">
        <v>17.86</v>
      </c>
      <c r="T77" s="28">
        <f t="shared" si="40"/>
        <v>392.91999999999996</v>
      </c>
      <c r="U77" s="28">
        <v>407.66</v>
      </c>
      <c r="V77" s="7">
        <v>18.53</v>
      </c>
      <c r="W77" s="7">
        <v>6.92</v>
      </c>
      <c r="X77" s="28">
        <f t="shared" si="41"/>
        <v>2131.36</v>
      </c>
      <c r="Y77" s="28">
        <v>305</v>
      </c>
      <c r="Z77" s="60">
        <f t="shared" si="56"/>
        <v>304.48</v>
      </c>
      <c r="AA77" s="69">
        <v>152.24</v>
      </c>
      <c r="AB77" s="28">
        <v>356.84</v>
      </c>
      <c r="AC77" s="28">
        <v>389</v>
      </c>
      <c r="AD77" s="25">
        <f t="shared" si="42"/>
        <v>285.73259999999999</v>
      </c>
      <c r="AE77" s="25">
        <f t="shared" si="43"/>
        <v>308.59120799999999</v>
      </c>
      <c r="AF77" s="25">
        <f t="shared" si="44"/>
        <v>2160.1384560000001</v>
      </c>
      <c r="AG77" s="25">
        <f t="shared" si="45"/>
        <v>424.51260000000002</v>
      </c>
      <c r="AH77" s="25">
        <f t="shared" si="46"/>
        <v>458.47360800000007</v>
      </c>
      <c r="AI77" s="25">
        <f t="shared" si="47"/>
        <v>3209.3152560000003</v>
      </c>
      <c r="AJ77" s="25">
        <f t="shared" si="48"/>
        <v>407.66</v>
      </c>
      <c r="AK77" s="25">
        <f t="shared" si="49"/>
        <v>440.27280000000007</v>
      </c>
      <c r="AL77" s="25">
        <f t="shared" si="50"/>
        <v>3081.9096000000004</v>
      </c>
      <c r="AM77" s="25">
        <f t="shared" si="51"/>
        <v>605.66000000000008</v>
      </c>
      <c r="AN77" s="25">
        <f t="shared" si="52"/>
        <v>654.11280000000011</v>
      </c>
      <c r="AO77" s="25">
        <f t="shared" si="53"/>
        <v>4578.789600000001</v>
      </c>
      <c r="AP77" s="22">
        <f>Table13[[#This Row],[Total Selling Price / Unit (MVR)]]/Table13[[#This Row],[CNF / Unit
(MVR)]]</f>
        <v>2.5551760378349972</v>
      </c>
      <c r="AQ77" s="34">
        <f>Table13[[#This Row],[Total Selling Price / Unit (MVR)]]-(Table13[[#This Row],[GST 8%
(MVR)]]+Table13[[#This Row],[Weighted max
expense (MVR)]])</f>
        <v>135.02447231203769</v>
      </c>
      <c r="AR77" s="35">
        <f>Table13[[#This Row],[Profit / Unit (MVR)]]*Table13[[#This Row],[Qty 
(NOS)]]</f>
        <v>945.17130618426381</v>
      </c>
      <c r="AS77"/>
      <c r="AT77"/>
    </row>
    <row r="78" spans="1:46" x14ac:dyDescent="0.25">
      <c r="A78" t="s">
        <v>43</v>
      </c>
      <c r="B78" s="16" t="s">
        <v>120</v>
      </c>
      <c r="C78" s="4">
        <v>7</v>
      </c>
      <c r="D78" s="7">
        <v>6.92</v>
      </c>
      <c r="E78" s="28">
        <v>48.44</v>
      </c>
      <c r="F78" s="28">
        <f t="shared" si="35"/>
        <v>152.24</v>
      </c>
      <c r="G78" s="4">
        <f t="shared" si="36"/>
        <v>1065.68</v>
      </c>
      <c r="H78" s="28">
        <v>407.66</v>
      </c>
      <c r="I78" s="28">
        <v>356.84</v>
      </c>
      <c r="J78" s="40">
        <f t="shared" si="37"/>
        <v>135.02447231203766</v>
      </c>
      <c r="K78" s="31">
        <f>(F78/$G$92)*Costs!$B$23</f>
        <v>225.1607128731475</v>
      </c>
      <c r="L78" s="31">
        <f t="shared" si="38"/>
        <v>360.18518518518516</v>
      </c>
      <c r="M78" s="31">
        <f t="shared" si="39"/>
        <v>28.814814814814813</v>
      </c>
      <c r="N78" s="40">
        <v>389</v>
      </c>
      <c r="O78" s="25">
        <f>Table13[[#This Row],[Total Selling Price / Unit (MVR)]]*Table13[[#This Row],[Qty 
(NOS)]]</f>
        <v>2723</v>
      </c>
      <c r="P78" s="64">
        <f t="shared" si="54"/>
        <v>2730</v>
      </c>
      <c r="Q78" s="64">
        <v>390</v>
      </c>
      <c r="R78" s="64">
        <f t="shared" si="55"/>
        <v>312</v>
      </c>
      <c r="S78" s="7">
        <v>17.86</v>
      </c>
      <c r="T78" s="28">
        <f t="shared" si="40"/>
        <v>392.91999999999996</v>
      </c>
      <c r="U78" s="28">
        <v>407.66</v>
      </c>
      <c r="V78" s="7">
        <v>18.53</v>
      </c>
      <c r="W78" s="7">
        <v>6.92</v>
      </c>
      <c r="X78" s="28">
        <f t="shared" si="41"/>
        <v>2131.36</v>
      </c>
      <c r="Y78" s="28">
        <v>305</v>
      </c>
      <c r="Z78" s="60">
        <f t="shared" si="56"/>
        <v>304.48</v>
      </c>
      <c r="AA78" s="70">
        <v>152.24</v>
      </c>
      <c r="AB78" s="28">
        <v>356.84</v>
      </c>
      <c r="AC78" s="28">
        <v>389</v>
      </c>
      <c r="AD78" s="25">
        <f t="shared" si="42"/>
        <v>285.73259999999999</v>
      </c>
      <c r="AE78" s="25">
        <f t="shared" si="43"/>
        <v>308.59120799999999</v>
      </c>
      <c r="AF78" s="25">
        <f t="shared" si="44"/>
        <v>2160.1384560000001</v>
      </c>
      <c r="AG78" s="25">
        <f t="shared" si="45"/>
        <v>424.51260000000002</v>
      </c>
      <c r="AH78" s="25">
        <f t="shared" si="46"/>
        <v>458.47360800000007</v>
      </c>
      <c r="AI78" s="25">
        <f t="shared" si="47"/>
        <v>3209.3152560000003</v>
      </c>
      <c r="AJ78" s="25">
        <f t="shared" si="48"/>
        <v>407.66</v>
      </c>
      <c r="AK78" s="25">
        <f t="shared" si="49"/>
        <v>440.27280000000007</v>
      </c>
      <c r="AL78" s="25">
        <f t="shared" si="50"/>
        <v>3081.9096000000004</v>
      </c>
      <c r="AM78" s="25">
        <f t="shared" si="51"/>
        <v>605.66000000000008</v>
      </c>
      <c r="AN78" s="25">
        <f t="shared" si="52"/>
        <v>654.11280000000011</v>
      </c>
      <c r="AO78" s="25">
        <f t="shared" si="53"/>
        <v>4578.789600000001</v>
      </c>
      <c r="AP78" s="22">
        <f>Table13[[#This Row],[Total Selling Price / Unit (MVR)]]/Table13[[#This Row],[CNF / Unit
(MVR)]]</f>
        <v>2.5551760378349972</v>
      </c>
      <c r="AQ78" s="36">
        <f>Table13[[#This Row],[Total Selling Price / Unit (MVR)]]-(Table13[[#This Row],[GST 8%
(MVR)]]+Table13[[#This Row],[Weighted max
expense (MVR)]])</f>
        <v>135.02447231203769</v>
      </c>
      <c r="AR78" s="37">
        <f>Table13[[#This Row],[Profit / Unit (MVR)]]*Table13[[#This Row],[Qty 
(NOS)]]</f>
        <v>945.17130618426381</v>
      </c>
      <c r="AS78"/>
      <c r="AT78"/>
    </row>
    <row r="79" spans="1:46" x14ac:dyDescent="0.25">
      <c r="A79" t="s">
        <v>87</v>
      </c>
      <c r="B79" s="16" t="s">
        <v>120</v>
      </c>
      <c r="C79" s="4">
        <v>4</v>
      </c>
      <c r="D79" s="7">
        <v>6.92</v>
      </c>
      <c r="E79" s="28">
        <v>27.68</v>
      </c>
      <c r="F79" s="28">
        <f t="shared" si="35"/>
        <v>152.24</v>
      </c>
      <c r="G79" s="4">
        <f t="shared" si="36"/>
        <v>608.96</v>
      </c>
      <c r="H79" s="28">
        <v>407.66</v>
      </c>
      <c r="I79" s="28">
        <v>356.84</v>
      </c>
      <c r="J79" s="39">
        <f t="shared" si="37"/>
        <v>135.02447231203766</v>
      </c>
      <c r="K79" s="30">
        <f>(F79/$G$92)*Costs!$B$23</f>
        <v>225.1607128731475</v>
      </c>
      <c r="L79" s="30">
        <f t="shared" si="38"/>
        <v>360.18518518518516</v>
      </c>
      <c r="M79" s="30">
        <f t="shared" si="39"/>
        <v>28.814814814814813</v>
      </c>
      <c r="N79" s="39">
        <v>389</v>
      </c>
      <c r="O79" s="25">
        <f>Table13[[#This Row],[Total Selling Price / Unit (MVR)]]*Table13[[#This Row],[Qty 
(NOS)]]</f>
        <v>1556</v>
      </c>
      <c r="P79" s="64">
        <f t="shared" si="54"/>
        <v>1560</v>
      </c>
      <c r="Q79" s="64">
        <v>390</v>
      </c>
      <c r="R79" s="64">
        <f t="shared" si="55"/>
        <v>312</v>
      </c>
      <c r="S79" s="7">
        <v>17.86</v>
      </c>
      <c r="T79" s="28">
        <f t="shared" si="40"/>
        <v>392.91999999999996</v>
      </c>
      <c r="U79" s="28">
        <v>407.66</v>
      </c>
      <c r="V79" s="7">
        <v>18.53</v>
      </c>
      <c r="W79" s="7">
        <v>6.92</v>
      </c>
      <c r="X79" s="28">
        <f t="shared" si="41"/>
        <v>1217.92</v>
      </c>
      <c r="Y79" s="28">
        <v>305</v>
      </c>
      <c r="Z79" s="60">
        <f t="shared" si="56"/>
        <v>304.48</v>
      </c>
      <c r="AA79" s="69">
        <v>152.24</v>
      </c>
      <c r="AB79" s="28">
        <v>356.84</v>
      </c>
      <c r="AC79" s="28">
        <v>389</v>
      </c>
      <c r="AD79" s="25">
        <f t="shared" si="42"/>
        <v>285.73259999999999</v>
      </c>
      <c r="AE79" s="25">
        <f t="shared" si="43"/>
        <v>308.59120799999999</v>
      </c>
      <c r="AF79" s="25">
        <f t="shared" si="44"/>
        <v>1234.364832</v>
      </c>
      <c r="AG79" s="25">
        <f t="shared" si="45"/>
        <v>424.51260000000002</v>
      </c>
      <c r="AH79" s="25">
        <f t="shared" si="46"/>
        <v>458.47360800000007</v>
      </c>
      <c r="AI79" s="25">
        <f t="shared" si="47"/>
        <v>1833.8944320000003</v>
      </c>
      <c r="AJ79" s="25">
        <f t="shared" si="48"/>
        <v>407.66</v>
      </c>
      <c r="AK79" s="25">
        <f t="shared" si="49"/>
        <v>440.27280000000007</v>
      </c>
      <c r="AL79" s="25">
        <f t="shared" si="50"/>
        <v>1761.0912000000003</v>
      </c>
      <c r="AM79" s="25">
        <f t="shared" si="51"/>
        <v>605.66000000000008</v>
      </c>
      <c r="AN79" s="25">
        <f t="shared" si="52"/>
        <v>654.11280000000011</v>
      </c>
      <c r="AO79" s="25">
        <f t="shared" si="53"/>
        <v>2616.4512000000004</v>
      </c>
      <c r="AP79" s="22">
        <f>Table13[[#This Row],[Total Selling Price / Unit (MVR)]]/Table13[[#This Row],[CNF / Unit
(MVR)]]</f>
        <v>2.5551760378349972</v>
      </c>
      <c r="AQ79" s="34">
        <f>Table13[[#This Row],[Total Selling Price / Unit (MVR)]]-(Table13[[#This Row],[GST 8%
(MVR)]]+Table13[[#This Row],[Weighted max
expense (MVR)]])</f>
        <v>135.02447231203769</v>
      </c>
      <c r="AR79" s="35">
        <f>Table13[[#This Row],[Profit / Unit (MVR)]]*Table13[[#This Row],[Qty 
(NOS)]]</f>
        <v>540.09788924815075</v>
      </c>
      <c r="AS79"/>
      <c r="AT79"/>
    </row>
    <row r="80" spans="1:46" x14ac:dyDescent="0.25">
      <c r="A80" t="s">
        <v>109</v>
      </c>
      <c r="B80" s="16" t="s">
        <v>120</v>
      </c>
      <c r="C80" s="4">
        <v>4</v>
      </c>
      <c r="D80" s="7">
        <v>6.92</v>
      </c>
      <c r="E80" s="28">
        <v>27.68</v>
      </c>
      <c r="F80" s="28">
        <f t="shared" si="35"/>
        <v>152.24</v>
      </c>
      <c r="G80" s="4">
        <f t="shared" si="36"/>
        <v>608.96</v>
      </c>
      <c r="H80" s="28">
        <v>407.66</v>
      </c>
      <c r="I80" s="28">
        <v>356.84</v>
      </c>
      <c r="J80" s="40">
        <f t="shared" si="37"/>
        <v>135.02447231203766</v>
      </c>
      <c r="K80" s="31">
        <f>(F80/$G$92)*Costs!$B$23</f>
        <v>225.1607128731475</v>
      </c>
      <c r="L80" s="31">
        <f t="shared" si="38"/>
        <v>360.18518518518516</v>
      </c>
      <c r="M80" s="31">
        <f t="shared" si="39"/>
        <v>28.814814814814813</v>
      </c>
      <c r="N80" s="40">
        <v>389</v>
      </c>
      <c r="O80" s="26">
        <f>Table13[[#This Row],[Total Selling Price / Unit (MVR)]]*Table13[[#This Row],[Qty 
(NOS)]]</f>
        <v>1556</v>
      </c>
      <c r="P80" s="64">
        <f t="shared" si="54"/>
        <v>1560</v>
      </c>
      <c r="Q80" s="66">
        <v>390</v>
      </c>
      <c r="R80" s="64">
        <f t="shared" si="55"/>
        <v>312</v>
      </c>
      <c r="S80" s="7">
        <v>17.86</v>
      </c>
      <c r="T80" s="28">
        <f t="shared" si="40"/>
        <v>392.91999999999996</v>
      </c>
      <c r="U80" s="28">
        <v>407.66</v>
      </c>
      <c r="V80" s="7">
        <v>18.53</v>
      </c>
      <c r="W80" s="7">
        <v>6.92</v>
      </c>
      <c r="X80" s="28">
        <f t="shared" si="41"/>
        <v>1217.92</v>
      </c>
      <c r="Y80" s="28">
        <v>305</v>
      </c>
      <c r="Z80" s="60">
        <f t="shared" si="56"/>
        <v>304.48</v>
      </c>
      <c r="AA80" s="70">
        <v>152.24</v>
      </c>
      <c r="AB80" s="28">
        <v>356.84</v>
      </c>
      <c r="AC80" s="55">
        <v>389</v>
      </c>
      <c r="AD80" s="26">
        <f t="shared" si="42"/>
        <v>285.73259999999999</v>
      </c>
      <c r="AE80" s="25">
        <f t="shared" si="43"/>
        <v>308.59120799999999</v>
      </c>
      <c r="AF80" s="25">
        <f t="shared" si="44"/>
        <v>1234.364832</v>
      </c>
      <c r="AG80" s="25">
        <f t="shared" si="45"/>
        <v>424.51260000000002</v>
      </c>
      <c r="AH80" s="25">
        <f t="shared" si="46"/>
        <v>458.47360800000007</v>
      </c>
      <c r="AI80" s="25">
        <f t="shared" si="47"/>
        <v>1833.8944320000003</v>
      </c>
      <c r="AJ80" s="25">
        <f t="shared" si="48"/>
        <v>407.66</v>
      </c>
      <c r="AK80" s="25">
        <f t="shared" si="49"/>
        <v>440.27280000000007</v>
      </c>
      <c r="AL80" s="25">
        <f t="shared" si="50"/>
        <v>1761.0912000000003</v>
      </c>
      <c r="AM80" s="25">
        <f t="shared" si="51"/>
        <v>605.66000000000008</v>
      </c>
      <c r="AN80" s="26">
        <f t="shared" si="52"/>
        <v>654.11280000000011</v>
      </c>
      <c r="AO80" s="26">
        <f t="shared" si="53"/>
        <v>2616.4512000000004</v>
      </c>
      <c r="AP80" s="23">
        <f>Table13[[#This Row],[Total Selling Price / Unit (MVR)]]/Table13[[#This Row],[CNF / Unit
(MVR)]]</f>
        <v>2.5551760378349972</v>
      </c>
      <c r="AQ80" s="36">
        <f>Table13[[#This Row],[Total Selling Price / Unit (MVR)]]-(Table13[[#This Row],[GST 8%
(MVR)]]+Table13[[#This Row],[Weighted max
expense (MVR)]])</f>
        <v>135.02447231203769</v>
      </c>
      <c r="AR80" s="37">
        <f>Table13[[#This Row],[Profit / Unit (MVR)]]*Table13[[#This Row],[Qty 
(NOS)]]</f>
        <v>540.09788924815075</v>
      </c>
      <c r="AS80"/>
      <c r="AT80"/>
    </row>
    <row r="81" spans="1:46" x14ac:dyDescent="0.25">
      <c r="A81" t="s">
        <v>89</v>
      </c>
      <c r="B81" s="17" t="s">
        <v>121</v>
      </c>
      <c r="C81" s="4">
        <v>4</v>
      </c>
      <c r="D81" s="7">
        <v>5.8</v>
      </c>
      <c r="E81" s="28">
        <v>23.2</v>
      </c>
      <c r="F81" s="28">
        <f t="shared" si="35"/>
        <v>127.6</v>
      </c>
      <c r="G81" s="4">
        <f t="shared" si="36"/>
        <v>510.4</v>
      </c>
      <c r="H81" s="28">
        <v>407.66</v>
      </c>
      <c r="I81" s="28">
        <v>292.15999999999997</v>
      </c>
      <c r="J81" s="39">
        <f t="shared" si="37"/>
        <v>135.35555750409495</v>
      </c>
      <c r="K81" s="30">
        <f>(F81/$G$92)*Costs!$B$23</f>
        <v>188.71851656997913</v>
      </c>
      <c r="L81" s="30">
        <f t="shared" si="38"/>
        <v>324.07407407407408</v>
      </c>
      <c r="M81" s="30">
        <f t="shared" si="39"/>
        <v>25.925925925925927</v>
      </c>
      <c r="N81" s="39">
        <v>350</v>
      </c>
      <c r="O81" s="25">
        <f>Table13[[#This Row],[Total Selling Price / Unit (MVR)]]*Table13[[#This Row],[Qty 
(NOS)]]</f>
        <v>1400</v>
      </c>
      <c r="P81" s="64">
        <f t="shared" si="54"/>
        <v>1400</v>
      </c>
      <c r="Q81" s="64">
        <v>350</v>
      </c>
      <c r="R81" s="64">
        <f t="shared" si="55"/>
        <v>280</v>
      </c>
      <c r="S81" s="7">
        <v>7.14</v>
      </c>
      <c r="T81" s="28">
        <f t="shared" si="40"/>
        <v>157.07999999999998</v>
      </c>
      <c r="U81" s="28">
        <v>407.66</v>
      </c>
      <c r="V81" s="7">
        <v>18.53</v>
      </c>
      <c r="W81" s="7">
        <v>5.8</v>
      </c>
      <c r="X81" s="28">
        <f t="shared" si="41"/>
        <v>1020.8</v>
      </c>
      <c r="Y81" s="28">
        <v>255</v>
      </c>
      <c r="Z81" s="60">
        <f t="shared" si="56"/>
        <v>255.2</v>
      </c>
      <c r="AA81" s="69">
        <v>127.6</v>
      </c>
      <c r="AB81" s="28">
        <v>292.15999999999997</v>
      </c>
      <c r="AC81" s="28">
        <v>350</v>
      </c>
      <c r="AD81" s="25">
        <f t="shared" si="42"/>
        <v>285.73259999999999</v>
      </c>
      <c r="AE81" s="25">
        <f t="shared" si="43"/>
        <v>308.59120799999999</v>
      </c>
      <c r="AF81" s="25">
        <f t="shared" si="44"/>
        <v>1234.364832</v>
      </c>
      <c r="AG81" s="25">
        <f t="shared" si="45"/>
        <v>424.51260000000002</v>
      </c>
      <c r="AH81" s="25">
        <f t="shared" si="46"/>
        <v>458.47360800000007</v>
      </c>
      <c r="AI81" s="25">
        <f t="shared" si="47"/>
        <v>1833.8944320000003</v>
      </c>
      <c r="AJ81" s="25">
        <f t="shared" si="48"/>
        <v>407.66</v>
      </c>
      <c r="AK81" s="25">
        <f t="shared" si="49"/>
        <v>440.27280000000007</v>
      </c>
      <c r="AL81" s="25">
        <f t="shared" si="50"/>
        <v>1761.0912000000003</v>
      </c>
      <c r="AM81" s="25">
        <f t="shared" si="51"/>
        <v>605.66000000000008</v>
      </c>
      <c r="AN81" s="25">
        <f t="shared" si="52"/>
        <v>654.11280000000011</v>
      </c>
      <c r="AO81" s="25">
        <f t="shared" si="53"/>
        <v>2616.4512000000004</v>
      </c>
      <c r="AP81" s="22">
        <f>Table13[[#This Row],[Total Selling Price / Unit (MVR)]]/Table13[[#This Row],[CNF / Unit
(MVR)]]</f>
        <v>2.7429467084639501</v>
      </c>
      <c r="AQ81" s="34">
        <f>Table13[[#This Row],[Total Selling Price / Unit (MVR)]]-(Table13[[#This Row],[GST 8%
(MVR)]]+Table13[[#This Row],[Weighted max
expense (MVR)]])</f>
        <v>135.35555750409495</v>
      </c>
      <c r="AR81" s="35">
        <f>Table13[[#This Row],[Profit / Unit (MVR)]]*Table13[[#This Row],[Qty 
(NOS)]]</f>
        <v>541.42223001637979</v>
      </c>
      <c r="AS81"/>
      <c r="AT81"/>
    </row>
    <row r="82" spans="1:46" x14ac:dyDescent="0.25">
      <c r="A82" t="s">
        <v>67</v>
      </c>
      <c r="B82" s="17" t="s">
        <v>121</v>
      </c>
      <c r="C82" s="4">
        <v>4</v>
      </c>
      <c r="D82" s="7">
        <v>5.94</v>
      </c>
      <c r="E82" s="28">
        <v>23.76</v>
      </c>
      <c r="F82" s="28">
        <f t="shared" si="35"/>
        <v>130.68</v>
      </c>
      <c r="G82" s="4">
        <f t="shared" si="36"/>
        <v>522.72</v>
      </c>
      <c r="H82" s="28">
        <v>407.66</v>
      </c>
      <c r="I82" s="28">
        <v>375.76</v>
      </c>
      <c r="J82" s="40">
        <f t="shared" si="37"/>
        <v>130.80028296619889</v>
      </c>
      <c r="K82" s="31">
        <f>(F82/$G$92)*Costs!$B$23</f>
        <v>193.27379110787518</v>
      </c>
      <c r="L82" s="31">
        <f t="shared" si="38"/>
        <v>324.07407407407408</v>
      </c>
      <c r="M82" s="31">
        <f t="shared" si="39"/>
        <v>25.925925925925927</v>
      </c>
      <c r="N82" s="40">
        <v>350</v>
      </c>
      <c r="O82" s="25">
        <f>Table13[[#This Row],[Total Selling Price / Unit (MVR)]]*Table13[[#This Row],[Qty 
(NOS)]]</f>
        <v>1400</v>
      </c>
      <c r="P82" s="64">
        <f t="shared" si="54"/>
        <v>1400</v>
      </c>
      <c r="Q82" s="64">
        <v>350</v>
      </c>
      <c r="R82" s="64">
        <f t="shared" si="55"/>
        <v>280</v>
      </c>
      <c r="S82" s="7">
        <v>7.14</v>
      </c>
      <c r="T82" s="28">
        <f t="shared" si="40"/>
        <v>157.07999999999998</v>
      </c>
      <c r="U82" s="28">
        <v>407.66</v>
      </c>
      <c r="V82" s="7">
        <v>18.53</v>
      </c>
      <c r="W82" s="7">
        <v>5.94</v>
      </c>
      <c r="X82" s="28">
        <f t="shared" si="41"/>
        <v>1045.44</v>
      </c>
      <c r="Y82" s="28">
        <v>265</v>
      </c>
      <c r="Z82" s="60">
        <f t="shared" si="56"/>
        <v>261.36</v>
      </c>
      <c r="AA82" s="70">
        <v>130.68</v>
      </c>
      <c r="AB82" s="28">
        <v>375.76</v>
      </c>
      <c r="AC82" s="28">
        <v>350</v>
      </c>
      <c r="AD82" s="25">
        <f t="shared" si="42"/>
        <v>285.73259999999999</v>
      </c>
      <c r="AE82" s="25">
        <f t="shared" si="43"/>
        <v>308.59120799999999</v>
      </c>
      <c r="AF82" s="25">
        <f t="shared" si="44"/>
        <v>1234.364832</v>
      </c>
      <c r="AG82" s="25">
        <f t="shared" si="45"/>
        <v>424.51260000000002</v>
      </c>
      <c r="AH82" s="25">
        <f t="shared" si="46"/>
        <v>458.47360800000007</v>
      </c>
      <c r="AI82" s="25">
        <f t="shared" si="47"/>
        <v>1833.8944320000003</v>
      </c>
      <c r="AJ82" s="25">
        <f t="shared" si="48"/>
        <v>407.66</v>
      </c>
      <c r="AK82" s="25">
        <f t="shared" si="49"/>
        <v>440.27280000000007</v>
      </c>
      <c r="AL82" s="25">
        <f t="shared" si="50"/>
        <v>1761.0912000000003</v>
      </c>
      <c r="AM82" s="25">
        <f t="shared" si="51"/>
        <v>605.66000000000008</v>
      </c>
      <c r="AN82" s="25">
        <f t="shared" si="52"/>
        <v>654.11280000000011</v>
      </c>
      <c r="AO82" s="25">
        <f t="shared" si="53"/>
        <v>2616.4512000000004</v>
      </c>
      <c r="AP82" s="22">
        <f>Table13[[#This Row],[Total Selling Price / Unit (MVR)]]/Table13[[#This Row],[CNF / Unit
(MVR)]]</f>
        <v>2.6782981328435871</v>
      </c>
      <c r="AQ82" s="36">
        <f>Table13[[#This Row],[Total Selling Price / Unit (MVR)]]-(Table13[[#This Row],[GST 8%
(MVR)]]+Table13[[#This Row],[Weighted max
expense (MVR)]])</f>
        <v>130.80028296619889</v>
      </c>
      <c r="AR82" s="37">
        <f>Table13[[#This Row],[Profit / Unit (MVR)]]*Table13[[#This Row],[Qty 
(NOS)]]</f>
        <v>523.20113186479557</v>
      </c>
      <c r="AS82"/>
      <c r="AT82"/>
    </row>
    <row r="83" spans="1:46" x14ac:dyDescent="0.25">
      <c r="A83" t="s">
        <v>86</v>
      </c>
      <c r="B83" s="17" t="s">
        <v>121</v>
      </c>
      <c r="C83" s="4">
        <v>4</v>
      </c>
      <c r="D83" s="7">
        <v>5.94</v>
      </c>
      <c r="E83" s="28">
        <v>23.76</v>
      </c>
      <c r="F83" s="28">
        <f t="shared" si="35"/>
        <v>130.68</v>
      </c>
      <c r="G83" s="4">
        <f t="shared" si="36"/>
        <v>522.72</v>
      </c>
      <c r="H83" s="28">
        <v>407.66</v>
      </c>
      <c r="I83" s="28">
        <v>375.76</v>
      </c>
      <c r="J83" s="39">
        <f t="shared" si="37"/>
        <v>148.39287555879145</v>
      </c>
      <c r="K83" s="30">
        <f>(F83/$G$92)*Costs!$B$23</f>
        <v>193.27379110787518</v>
      </c>
      <c r="L83" s="30">
        <f t="shared" si="38"/>
        <v>341.66666666666663</v>
      </c>
      <c r="M83" s="30">
        <f t="shared" si="39"/>
        <v>27.333333333333332</v>
      </c>
      <c r="N83" s="39">
        <v>369</v>
      </c>
      <c r="O83" s="25">
        <f>Table13[[#This Row],[Total Selling Price / Unit (MVR)]]*Table13[[#This Row],[Qty 
(NOS)]]</f>
        <v>1476</v>
      </c>
      <c r="P83" s="64">
        <f t="shared" si="54"/>
        <v>1400</v>
      </c>
      <c r="Q83" s="64">
        <v>350</v>
      </c>
      <c r="R83" s="64">
        <f t="shared" si="55"/>
        <v>280</v>
      </c>
      <c r="S83" s="7">
        <v>7.14</v>
      </c>
      <c r="T83" s="28">
        <f t="shared" si="40"/>
        <v>157.07999999999998</v>
      </c>
      <c r="U83" s="28">
        <v>407.66</v>
      </c>
      <c r="V83" s="7">
        <v>18.53</v>
      </c>
      <c r="W83" s="7">
        <v>5.94</v>
      </c>
      <c r="X83" s="28">
        <f t="shared" si="41"/>
        <v>1045.44</v>
      </c>
      <c r="Y83" s="28">
        <v>265</v>
      </c>
      <c r="Z83" s="60">
        <f t="shared" si="56"/>
        <v>261.36</v>
      </c>
      <c r="AA83" s="69">
        <v>130.68</v>
      </c>
      <c r="AB83" s="28">
        <v>375.76</v>
      </c>
      <c r="AC83" s="28">
        <v>369</v>
      </c>
      <c r="AD83" s="25">
        <f t="shared" si="42"/>
        <v>285.73259999999999</v>
      </c>
      <c r="AE83" s="25">
        <f t="shared" si="43"/>
        <v>308.59120799999999</v>
      </c>
      <c r="AF83" s="25">
        <f t="shared" si="44"/>
        <v>1234.364832</v>
      </c>
      <c r="AG83" s="25">
        <f t="shared" si="45"/>
        <v>424.51260000000002</v>
      </c>
      <c r="AH83" s="25">
        <f t="shared" si="46"/>
        <v>458.47360800000007</v>
      </c>
      <c r="AI83" s="25">
        <f t="shared" si="47"/>
        <v>1833.8944320000003</v>
      </c>
      <c r="AJ83" s="25">
        <f t="shared" si="48"/>
        <v>407.66</v>
      </c>
      <c r="AK83" s="25">
        <f t="shared" si="49"/>
        <v>440.27280000000007</v>
      </c>
      <c r="AL83" s="25">
        <f t="shared" si="50"/>
        <v>1761.0912000000003</v>
      </c>
      <c r="AM83" s="25">
        <f t="shared" si="51"/>
        <v>605.66000000000008</v>
      </c>
      <c r="AN83" s="25">
        <f t="shared" si="52"/>
        <v>654.11280000000011</v>
      </c>
      <c r="AO83" s="25">
        <f t="shared" si="53"/>
        <v>2616.4512000000004</v>
      </c>
      <c r="AP83" s="22">
        <f>Table13[[#This Row],[Total Selling Price / Unit (MVR)]]/Table13[[#This Row],[CNF / Unit
(MVR)]]</f>
        <v>2.8236914600550964</v>
      </c>
      <c r="AQ83" s="34">
        <f>Table13[[#This Row],[Total Selling Price / Unit (MVR)]]-(Table13[[#This Row],[GST 8%
(MVR)]]+Table13[[#This Row],[Weighted max
expense (MVR)]])</f>
        <v>148.39287555879147</v>
      </c>
      <c r="AR83" s="35">
        <f>Table13[[#This Row],[Profit / Unit (MVR)]]*Table13[[#This Row],[Qty 
(NOS)]]</f>
        <v>593.57150223516589</v>
      </c>
      <c r="AS83"/>
      <c r="AT83"/>
    </row>
    <row r="84" spans="1:46" x14ac:dyDescent="0.25">
      <c r="A84" t="s">
        <v>110</v>
      </c>
      <c r="B84" s="17" t="s">
        <v>121</v>
      </c>
      <c r="C84" s="4">
        <v>4</v>
      </c>
      <c r="D84" s="7">
        <v>6.64</v>
      </c>
      <c r="E84" s="28">
        <v>26.56</v>
      </c>
      <c r="F84" s="28">
        <f t="shared" si="35"/>
        <v>146.07999999999998</v>
      </c>
      <c r="G84" s="4">
        <f t="shared" si="36"/>
        <v>584.31999999999994</v>
      </c>
      <c r="H84" s="28">
        <v>1271.5999999999999</v>
      </c>
      <c r="I84" s="28">
        <v>339.9</v>
      </c>
      <c r="J84" s="40">
        <f t="shared" si="37"/>
        <v>339.50539175820018</v>
      </c>
      <c r="K84" s="31">
        <f>(F84/$G$92)*Costs!$B$23</f>
        <v>216.05016379735537</v>
      </c>
      <c r="L84" s="31">
        <f t="shared" si="38"/>
        <v>555.55555555555554</v>
      </c>
      <c r="M84" s="31">
        <f t="shared" si="39"/>
        <v>44.444444444444443</v>
      </c>
      <c r="N84" s="40">
        <v>600</v>
      </c>
      <c r="O84" s="25">
        <f>Table13[[#This Row],[Total Selling Price / Unit (MVR)]]*Table13[[#This Row],[Qty 
(NOS)]]</f>
        <v>2400</v>
      </c>
      <c r="P84" s="64">
        <f t="shared" si="54"/>
        <v>1500</v>
      </c>
      <c r="Q84" s="64">
        <v>375</v>
      </c>
      <c r="R84" s="64">
        <f t="shared" si="55"/>
        <v>300</v>
      </c>
      <c r="S84" s="7">
        <v>55.71</v>
      </c>
      <c r="T84" s="28">
        <f t="shared" si="40"/>
        <v>1225.6200000000001</v>
      </c>
      <c r="U84" s="28">
        <v>1271.5999999999999</v>
      </c>
      <c r="V84" s="7">
        <v>57.8</v>
      </c>
      <c r="W84" s="7">
        <v>6.64</v>
      </c>
      <c r="X84" s="28">
        <f t="shared" si="41"/>
        <v>1168.6399999999999</v>
      </c>
      <c r="Y84" s="28">
        <v>295</v>
      </c>
      <c r="Z84" s="60">
        <f t="shared" si="56"/>
        <v>292.15999999999997</v>
      </c>
      <c r="AA84" s="70">
        <v>146.07999999999998</v>
      </c>
      <c r="AB84" s="28">
        <v>339.9</v>
      </c>
      <c r="AC84" s="28">
        <v>600</v>
      </c>
      <c r="AD84" s="25">
        <f t="shared" si="42"/>
        <v>891.27599999999995</v>
      </c>
      <c r="AE84" s="25">
        <f t="shared" si="43"/>
        <v>962.57808</v>
      </c>
      <c r="AF84" s="25">
        <f t="shared" si="44"/>
        <v>3850.31232</v>
      </c>
      <c r="AG84" s="25">
        <f t="shared" si="45"/>
        <v>1030.056</v>
      </c>
      <c r="AH84" s="25">
        <f t="shared" si="46"/>
        <v>1112.4604800000002</v>
      </c>
      <c r="AI84" s="25">
        <f t="shared" si="47"/>
        <v>4449.8419200000008</v>
      </c>
      <c r="AJ84" s="25">
        <f t="shared" si="48"/>
        <v>1271.5999999999999</v>
      </c>
      <c r="AK84" s="25">
        <f t="shared" si="49"/>
        <v>1373.328</v>
      </c>
      <c r="AL84" s="25">
        <f t="shared" si="50"/>
        <v>5493.3119999999999</v>
      </c>
      <c r="AM84" s="25">
        <f t="shared" si="51"/>
        <v>1469.6</v>
      </c>
      <c r="AN84" s="25">
        <f t="shared" si="52"/>
        <v>1587.1679999999999</v>
      </c>
      <c r="AO84" s="25">
        <f t="shared" si="53"/>
        <v>6348.6719999999996</v>
      </c>
      <c r="AP84" s="22">
        <f>Table13[[#This Row],[Total Selling Price / Unit (MVR)]]/Table13[[#This Row],[CNF / Unit
(MVR)]]</f>
        <v>4.1073384446878425</v>
      </c>
      <c r="AQ84" s="36">
        <f>Table13[[#This Row],[Total Selling Price / Unit (MVR)]]-(Table13[[#This Row],[GST 8%
(MVR)]]+Table13[[#This Row],[Weighted max
expense (MVR)]])</f>
        <v>339.50539175820018</v>
      </c>
      <c r="AR84" s="37">
        <f>Table13[[#This Row],[Profit / Unit (MVR)]]*Table13[[#This Row],[Qty 
(NOS)]]</f>
        <v>1358.0215670328007</v>
      </c>
      <c r="AS84"/>
      <c r="AT84"/>
    </row>
    <row r="85" spans="1:46" x14ac:dyDescent="0.25">
      <c r="A85" t="s">
        <v>111</v>
      </c>
      <c r="B85" s="17" t="s">
        <v>121</v>
      </c>
      <c r="C85" s="4">
        <v>4</v>
      </c>
      <c r="D85" s="7">
        <v>8.3000000000000007</v>
      </c>
      <c r="E85" s="28">
        <v>33.200000000000003</v>
      </c>
      <c r="F85" s="28">
        <f t="shared" si="35"/>
        <v>182.60000000000002</v>
      </c>
      <c r="G85" s="4">
        <f t="shared" si="36"/>
        <v>730.40000000000009</v>
      </c>
      <c r="H85" s="28" t="s">
        <v>114</v>
      </c>
      <c r="I85" s="28">
        <v>438.68</v>
      </c>
      <c r="J85" s="39">
        <f t="shared" si="37"/>
        <v>100.30766562367603</v>
      </c>
      <c r="K85" s="30">
        <f>(F85/$G$92)*Costs!$B$23</f>
        <v>270.06270474669429</v>
      </c>
      <c r="L85" s="30">
        <f t="shared" si="38"/>
        <v>370.37037037037032</v>
      </c>
      <c r="M85" s="30">
        <f t="shared" si="39"/>
        <v>29.629629629629626</v>
      </c>
      <c r="N85" s="39">
        <v>400</v>
      </c>
      <c r="O85" s="25">
        <f>Table13[[#This Row],[Total Selling Price / Unit (MVR)]]*Table13[[#This Row],[Qty 
(NOS)]]</f>
        <v>1600</v>
      </c>
      <c r="P85" s="64">
        <f t="shared" si="54"/>
        <v>1920</v>
      </c>
      <c r="Q85" s="64">
        <v>480</v>
      </c>
      <c r="R85" s="64">
        <f t="shared" si="55"/>
        <v>384</v>
      </c>
      <c r="S85" s="7">
        <v>25</v>
      </c>
      <c r="T85" s="28">
        <f t="shared" si="40"/>
        <v>550</v>
      </c>
      <c r="U85" s="28" t="s">
        <v>114</v>
      </c>
      <c r="V85" s="61">
        <v>25.94</v>
      </c>
      <c r="W85" s="7">
        <v>8.3000000000000007</v>
      </c>
      <c r="X85" s="28">
        <f t="shared" si="41"/>
        <v>1460.8000000000002</v>
      </c>
      <c r="Y85" s="28">
        <v>365</v>
      </c>
      <c r="Z85" s="60">
        <f t="shared" si="56"/>
        <v>365.20000000000005</v>
      </c>
      <c r="AA85" s="69">
        <v>182.60000000000002</v>
      </c>
      <c r="AB85" s="28">
        <v>438.68</v>
      </c>
      <c r="AC85" s="28">
        <v>400</v>
      </c>
      <c r="AD85" s="25">
        <f t="shared" si="42"/>
        <v>399.9948</v>
      </c>
      <c r="AE85" s="25">
        <f t="shared" si="43"/>
        <v>431.99438400000003</v>
      </c>
      <c r="AF85" s="25">
        <f t="shared" si="44"/>
        <v>1727.9775360000001</v>
      </c>
      <c r="AG85" s="25">
        <f t="shared" si="45"/>
        <v>538.77479999999991</v>
      </c>
      <c r="AH85" s="25">
        <f t="shared" si="46"/>
        <v>581.87678399999993</v>
      </c>
      <c r="AI85" s="25">
        <f t="shared" si="47"/>
        <v>2327.5071359999997</v>
      </c>
      <c r="AJ85" s="25">
        <f t="shared" si="48"/>
        <v>570.68000000000006</v>
      </c>
      <c r="AK85" s="25">
        <f t="shared" si="49"/>
        <v>616.33440000000007</v>
      </c>
      <c r="AL85" s="25">
        <f t="shared" si="50"/>
        <v>2465.3376000000003</v>
      </c>
      <c r="AM85" s="25">
        <f t="shared" si="51"/>
        <v>768.68</v>
      </c>
      <c r="AN85" s="25">
        <f t="shared" si="52"/>
        <v>830.17439999999999</v>
      </c>
      <c r="AO85" s="25">
        <f t="shared" si="53"/>
        <v>3320.6976</v>
      </c>
      <c r="AP85" s="22">
        <f>Table13[[#This Row],[Total Selling Price / Unit (MVR)]]/Table13[[#This Row],[CNF / Unit
(MVR)]]</f>
        <v>2.1905805038335155</v>
      </c>
      <c r="AQ85" s="34">
        <f>Table13[[#This Row],[Total Selling Price / Unit (MVR)]]-(Table13[[#This Row],[GST 8%
(MVR)]]+Table13[[#This Row],[Weighted max
expense (MVR)]])</f>
        <v>100.30766562367609</v>
      </c>
      <c r="AR85" s="35">
        <f>Table13[[#This Row],[Profit / Unit (MVR)]]*Table13[[#This Row],[Qty 
(NOS)]]</f>
        <v>401.23066249470435</v>
      </c>
      <c r="AS85"/>
      <c r="AT85"/>
    </row>
    <row r="86" spans="1:46" x14ac:dyDescent="0.25">
      <c r="A86" t="s">
        <v>90</v>
      </c>
      <c r="B86" s="17" t="s">
        <v>121</v>
      </c>
      <c r="C86" s="4">
        <v>4</v>
      </c>
      <c r="D86" s="7">
        <v>6.12</v>
      </c>
      <c r="E86" s="28">
        <v>24.48</v>
      </c>
      <c r="F86" s="28">
        <f t="shared" si="35"/>
        <v>134.64000000000001</v>
      </c>
      <c r="G86" s="4">
        <f t="shared" si="36"/>
        <v>538.56000000000006</v>
      </c>
      <c r="H86" s="28">
        <v>407.66</v>
      </c>
      <c r="I86" s="28">
        <v>375.76</v>
      </c>
      <c r="J86" s="40">
        <f t="shared" si="37"/>
        <v>124.9435014174754</v>
      </c>
      <c r="K86" s="31">
        <f>(F86/$G$92)*Costs!$B$23</f>
        <v>199.13057265659867</v>
      </c>
      <c r="L86" s="31">
        <f t="shared" si="38"/>
        <v>324.07407407407408</v>
      </c>
      <c r="M86" s="31">
        <f t="shared" si="39"/>
        <v>25.925925925925927</v>
      </c>
      <c r="N86" s="40">
        <v>350</v>
      </c>
      <c r="O86" s="25">
        <f>Table13[[#This Row],[Total Selling Price / Unit (MVR)]]*Table13[[#This Row],[Qty 
(NOS)]]</f>
        <v>1400</v>
      </c>
      <c r="P86" s="64">
        <f t="shared" si="54"/>
        <v>1400</v>
      </c>
      <c r="Q86" s="64">
        <v>350</v>
      </c>
      <c r="R86" s="64">
        <f t="shared" si="55"/>
        <v>280</v>
      </c>
      <c r="S86" s="7">
        <v>7.14</v>
      </c>
      <c r="T86" s="28">
        <f t="shared" si="40"/>
        <v>157.07999999999998</v>
      </c>
      <c r="U86" s="28">
        <v>407.66</v>
      </c>
      <c r="V86" s="7">
        <v>18.53</v>
      </c>
      <c r="W86" s="7">
        <v>6.12</v>
      </c>
      <c r="X86" s="28">
        <f t="shared" si="41"/>
        <v>1077.1200000000001</v>
      </c>
      <c r="Y86" s="28">
        <v>270</v>
      </c>
      <c r="Z86" s="60">
        <f t="shared" si="56"/>
        <v>269.28000000000003</v>
      </c>
      <c r="AA86" s="70">
        <v>134.64000000000001</v>
      </c>
      <c r="AB86" s="28">
        <v>375.76</v>
      </c>
      <c r="AC86" s="28">
        <v>350</v>
      </c>
      <c r="AD86" s="25">
        <f t="shared" si="42"/>
        <v>285.73259999999999</v>
      </c>
      <c r="AE86" s="25">
        <f t="shared" si="43"/>
        <v>308.59120799999999</v>
      </c>
      <c r="AF86" s="25">
        <f t="shared" si="44"/>
        <v>1234.364832</v>
      </c>
      <c r="AG86" s="25">
        <f t="shared" si="45"/>
        <v>424.51260000000002</v>
      </c>
      <c r="AH86" s="25">
        <f t="shared" si="46"/>
        <v>458.47360800000007</v>
      </c>
      <c r="AI86" s="25">
        <f t="shared" si="47"/>
        <v>1833.8944320000003</v>
      </c>
      <c r="AJ86" s="25">
        <f t="shared" si="48"/>
        <v>407.66</v>
      </c>
      <c r="AK86" s="25">
        <f t="shared" si="49"/>
        <v>440.27280000000007</v>
      </c>
      <c r="AL86" s="25">
        <f t="shared" si="50"/>
        <v>1761.0912000000003</v>
      </c>
      <c r="AM86" s="25">
        <f t="shared" si="51"/>
        <v>605.66000000000008</v>
      </c>
      <c r="AN86" s="25">
        <f t="shared" si="52"/>
        <v>654.11280000000011</v>
      </c>
      <c r="AO86" s="25">
        <f t="shared" si="53"/>
        <v>2616.4512000000004</v>
      </c>
      <c r="AP86" s="22">
        <f>Table13[[#This Row],[Total Selling Price / Unit (MVR)]]/Table13[[#This Row],[CNF / Unit
(MVR)]]</f>
        <v>2.5995246583481877</v>
      </c>
      <c r="AQ86" s="36">
        <f>Table13[[#This Row],[Total Selling Price / Unit (MVR)]]-(Table13[[#This Row],[GST 8%
(MVR)]]+Table13[[#This Row],[Weighted max
expense (MVR)]])</f>
        <v>124.9435014174754</v>
      </c>
      <c r="AR86" s="37">
        <f>Table13[[#This Row],[Profit / Unit (MVR)]]*Table13[[#This Row],[Qty 
(NOS)]]</f>
        <v>499.77400566990161</v>
      </c>
      <c r="AS86"/>
      <c r="AT86"/>
    </row>
    <row r="87" spans="1:46" x14ac:dyDescent="0.25">
      <c r="A87" t="s">
        <v>103</v>
      </c>
      <c r="B87" s="17" t="s">
        <v>121</v>
      </c>
      <c r="C87" s="4">
        <v>4</v>
      </c>
      <c r="D87" s="7">
        <v>6.78</v>
      </c>
      <c r="E87" s="28">
        <v>27.12</v>
      </c>
      <c r="F87" s="28">
        <f t="shared" si="35"/>
        <v>149.16</v>
      </c>
      <c r="G87" s="4">
        <f t="shared" si="36"/>
        <v>596.64</v>
      </c>
      <c r="H87" s="28" t="s">
        <v>114</v>
      </c>
      <c r="I87" s="28">
        <v>331.54</v>
      </c>
      <c r="J87" s="39">
        <f t="shared" si="37"/>
        <v>149.7649320351189</v>
      </c>
      <c r="K87" s="30">
        <f>(F87/$G$92)*Costs!$B$23</f>
        <v>220.60543833525142</v>
      </c>
      <c r="L87" s="30">
        <f t="shared" si="38"/>
        <v>370.37037037037032</v>
      </c>
      <c r="M87" s="30">
        <f t="shared" si="39"/>
        <v>29.629629629629626</v>
      </c>
      <c r="N87" s="39">
        <v>400</v>
      </c>
      <c r="O87" s="25">
        <f>Table13[[#This Row],[Total Selling Price / Unit (MVR)]]*Table13[[#This Row],[Qty 
(NOS)]]</f>
        <v>1600</v>
      </c>
      <c r="P87" s="64">
        <f t="shared" si="54"/>
        <v>1500</v>
      </c>
      <c r="Q87" s="64">
        <v>375</v>
      </c>
      <c r="R87" s="64">
        <f t="shared" si="55"/>
        <v>300</v>
      </c>
      <c r="S87" s="7">
        <v>55.71</v>
      </c>
      <c r="T87" s="28">
        <f t="shared" si="40"/>
        <v>1225.6200000000001</v>
      </c>
      <c r="U87" s="28" t="s">
        <v>114</v>
      </c>
      <c r="V87" s="61">
        <v>57.8</v>
      </c>
      <c r="W87" s="7">
        <v>6.78</v>
      </c>
      <c r="X87" s="28">
        <f t="shared" si="41"/>
        <v>1193.28</v>
      </c>
      <c r="Y87" s="28">
        <v>300</v>
      </c>
      <c r="Z87" s="60">
        <f t="shared" si="56"/>
        <v>298.32</v>
      </c>
      <c r="AA87" s="69">
        <v>149.16</v>
      </c>
      <c r="AB87" s="28">
        <v>331.54</v>
      </c>
      <c r="AC87" s="28">
        <v>400</v>
      </c>
      <c r="AD87" s="25">
        <f t="shared" si="42"/>
        <v>891.27599999999995</v>
      </c>
      <c r="AE87" s="25">
        <f t="shared" si="43"/>
        <v>962.57808</v>
      </c>
      <c r="AF87" s="25">
        <f t="shared" si="44"/>
        <v>3850.31232</v>
      </c>
      <c r="AG87" s="25">
        <f t="shared" si="45"/>
        <v>1030.056</v>
      </c>
      <c r="AH87" s="25">
        <f t="shared" si="46"/>
        <v>1112.4604800000002</v>
      </c>
      <c r="AI87" s="25">
        <f t="shared" si="47"/>
        <v>4449.8419200000008</v>
      </c>
      <c r="AJ87" s="25">
        <f t="shared" si="48"/>
        <v>1271.5999999999999</v>
      </c>
      <c r="AK87" s="25">
        <f t="shared" si="49"/>
        <v>1373.328</v>
      </c>
      <c r="AL87" s="25">
        <f t="shared" si="50"/>
        <v>5493.3119999999999</v>
      </c>
      <c r="AM87" s="25">
        <f t="shared" si="51"/>
        <v>1469.6</v>
      </c>
      <c r="AN87" s="25">
        <f t="shared" si="52"/>
        <v>1587.1679999999999</v>
      </c>
      <c r="AO87" s="25">
        <f t="shared" si="53"/>
        <v>6348.6719999999996</v>
      </c>
      <c r="AP87" s="22">
        <f>Table13[[#This Row],[Total Selling Price / Unit (MVR)]]/Table13[[#This Row],[CNF / Unit
(MVR)]]</f>
        <v>2.6816840976133012</v>
      </c>
      <c r="AQ87" s="34">
        <f>Table13[[#This Row],[Total Selling Price / Unit (MVR)]]-(Table13[[#This Row],[GST 8%
(MVR)]]+Table13[[#This Row],[Weighted max
expense (MVR)]])</f>
        <v>149.76493203511896</v>
      </c>
      <c r="AR87" s="35">
        <f>Table13[[#This Row],[Profit / Unit (MVR)]]*Table13[[#This Row],[Qty 
(NOS)]]</f>
        <v>599.05972814047584</v>
      </c>
      <c r="AS87"/>
      <c r="AT87"/>
    </row>
    <row r="88" spans="1:46" x14ac:dyDescent="0.25">
      <c r="A88" t="s">
        <v>71</v>
      </c>
      <c r="B88" s="17" t="s">
        <v>121</v>
      </c>
      <c r="C88" s="4">
        <v>4</v>
      </c>
      <c r="D88" s="7">
        <v>6.78</v>
      </c>
      <c r="E88" s="28">
        <v>27.12</v>
      </c>
      <c r="F88" s="28">
        <f t="shared" si="35"/>
        <v>149.16</v>
      </c>
      <c r="G88" s="4">
        <f t="shared" si="36"/>
        <v>596.64</v>
      </c>
      <c r="H88" s="28" t="s">
        <v>114</v>
      </c>
      <c r="I88" s="28">
        <v>331.54</v>
      </c>
      <c r="J88" s="40">
        <f t="shared" si="37"/>
        <v>149.7649320351189</v>
      </c>
      <c r="K88" s="31">
        <f>(F88/$G$92)*Costs!$B$23</f>
        <v>220.60543833525142</v>
      </c>
      <c r="L88" s="31">
        <f t="shared" si="38"/>
        <v>370.37037037037032</v>
      </c>
      <c r="M88" s="31">
        <f t="shared" si="39"/>
        <v>29.629629629629626</v>
      </c>
      <c r="N88" s="40">
        <v>400</v>
      </c>
      <c r="O88" s="25">
        <f>Table13[[#This Row],[Total Selling Price / Unit (MVR)]]*Table13[[#This Row],[Qty 
(NOS)]]</f>
        <v>1600</v>
      </c>
      <c r="P88" s="64">
        <f t="shared" si="54"/>
        <v>1500</v>
      </c>
      <c r="Q88" s="64">
        <v>375</v>
      </c>
      <c r="R88" s="64">
        <f t="shared" si="55"/>
        <v>300</v>
      </c>
      <c r="S88" s="7">
        <v>55.71</v>
      </c>
      <c r="T88" s="28">
        <f t="shared" si="40"/>
        <v>1225.6200000000001</v>
      </c>
      <c r="U88" s="28" t="s">
        <v>114</v>
      </c>
      <c r="V88" s="61">
        <v>57.8</v>
      </c>
      <c r="W88" s="7">
        <v>6.78</v>
      </c>
      <c r="X88" s="28">
        <f t="shared" si="41"/>
        <v>1193.28</v>
      </c>
      <c r="Y88" s="28">
        <v>300</v>
      </c>
      <c r="Z88" s="60">
        <f t="shared" si="56"/>
        <v>298.32</v>
      </c>
      <c r="AA88" s="70">
        <v>149.16</v>
      </c>
      <c r="AB88" s="28">
        <v>331.54</v>
      </c>
      <c r="AC88" s="29">
        <v>400</v>
      </c>
      <c r="AD88" s="25">
        <f t="shared" si="42"/>
        <v>891.27599999999995</v>
      </c>
      <c r="AE88" s="25">
        <f t="shared" si="43"/>
        <v>962.57808</v>
      </c>
      <c r="AF88" s="25">
        <f t="shared" si="44"/>
        <v>3850.31232</v>
      </c>
      <c r="AG88" s="25">
        <f t="shared" si="45"/>
        <v>1030.056</v>
      </c>
      <c r="AH88" s="25">
        <f t="shared" si="46"/>
        <v>1112.4604800000002</v>
      </c>
      <c r="AI88" s="25">
        <f t="shared" si="47"/>
        <v>4449.8419200000008</v>
      </c>
      <c r="AJ88" s="25">
        <f t="shared" si="48"/>
        <v>1271.5999999999999</v>
      </c>
      <c r="AK88" s="25">
        <f t="shared" si="49"/>
        <v>1373.328</v>
      </c>
      <c r="AL88" s="25">
        <f t="shared" si="50"/>
        <v>5493.3119999999999</v>
      </c>
      <c r="AM88" s="25">
        <f t="shared" si="51"/>
        <v>1469.6</v>
      </c>
      <c r="AN88" s="25">
        <f t="shared" si="52"/>
        <v>1587.1679999999999</v>
      </c>
      <c r="AO88" s="25">
        <f t="shared" si="53"/>
        <v>6348.6719999999996</v>
      </c>
      <c r="AP88" s="22">
        <f>Table13[[#This Row],[Total Selling Price / Unit (MVR)]]/Table13[[#This Row],[CNF / Unit
(MVR)]]</f>
        <v>2.6816840976133012</v>
      </c>
      <c r="AQ88" s="36">
        <f>Table13[[#This Row],[Total Selling Price / Unit (MVR)]]-(Table13[[#This Row],[GST 8%
(MVR)]]+Table13[[#This Row],[Weighted max
expense (MVR)]])</f>
        <v>149.76493203511896</v>
      </c>
      <c r="AR88" s="37">
        <f>Table13[[#This Row],[Profit / Unit (MVR)]]*Table13[[#This Row],[Qty 
(NOS)]]</f>
        <v>599.05972814047584</v>
      </c>
      <c r="AS88"/>
      <c r="AT88"/>
    </row>
    <row r="89" spans="1:46" x14ac:dyDescent="0.25">
      <c r="A89" t="s">
        <v>45</v>
      </c>
      <c r="B89" s="17" t="s">
        <v>121</v>
      </c>
      <c r="C89" s="4">
        <v>7</v>
      </c>
      <c r="D89" s="7">
        <v>6.78</v>
      </c>
      <c r="E89" s="28">
        <v>47.46</v>
      </c>
      <c r="F89" s="28">
        <f t="shared" si="35"/>
        <v>149.16</v>
      </c>
      <c r="G89" s="4">
        <f t="shared" si="36"/>
        <v>1044.1199999999999</v>
      </c>
      <c r="H89" s="28" t="s">
        <v>114</v>
      </c>
      <c r="I89" s="28">
        <v>339.9</v>
      </c>
      <c r="J89" s="39">
        <f t="shared" si="37"/>
        <v>334.95011722030415</v>
      </c>
      <c r="K89" s="30">
        <f>(F89/$G$92)*Costs!$B$23</f>
        <v>220.60543833525142</v>
      </c>
      <c r="L89" s="30">
        <f t="shared" si="38"/>
        <v>555.55555555555554</v>
      </c>
      <c r="M89" s="30">
        <f t="shared" si="39"/>
        <v>44.444444444444443</v>
      </c>
      <c r="N89" s="39">
        <v>600</v>
      </c>
      <c r="O89" s="25">
        <f>Table13[[#This Row],[Total Selling Price / Unit (MVR)]]*Table13[[#This Row],[Qty 
(NOS)]]</f>
        <v>4200</v>
      </c>
      <c r="P89" s="64">
        <f t="shared" si="54"/>
        <v>2625</v>
      </c>
      <c r="Q89" s="64">
        <v>375</v>
      </c>
      <c r="R89" s="64">
        <f t="shared" si="55"/>
        <v>300</v>
      </c>
      <c r="S89" s="7">
        <v>55.71</v>
      </c>
      <c r="T89" s="28">
        <f t="shared" si="40"/>
        <v>1225.6200000000001</v>
      </c>
      <c r="U89" s="28" t="s">
        <v>114</v>
      </c>
      <c r="V89" s="61">
        <v>57.8</v>
      </c>
      <c r="W89" s="7">
        <v>6.78</v>
      </c>
      <c r="X89" s="28">
        <f t="shared" si="41"/>
        <v>2088.2399999999998</v>
      </c>
      <c r="Y89" s="28">
        <v>300</v>
      </c>
      <c r="Z89" s="60">
        <f t="shared" si="56"/>
        <v>298.32</v>
      </c>
      <c r="AA89" s="69">
        <v>149.16</v>
      </c>
      <c r="AB89" s="28">
        <v>339.9</v>
      </c>
      <c r="AC89" s="28">
        <v>600</v>
      </c>
      <c r="AD89" s="25">
        <f t="shared" si="42"/>
        <v>891.27599999999995</v>
      </c>
      <c r="AE89" s="25">
        <f t="shared" si="43"/>
        <v>962.57808</v>
      </c>
      <c r="AF89" s="25">
        <f t="shared" si="44"/>
        <v>6738.0465599999998</v>
      </c>
      <c r="AG89" s="25">
        <f t="shared" si="45"/>
        <v>1030.056</v>
      </c>
      <c r="AH89" s="25">
        <f t="shared" si="46"/>
        <v>1112.4604800000002</v>
      </c>
      <c r="AI89" s="25">
        <f t="shared" si="47"/>
        <v>7787.2233600000018</v>
      </c>
      <c r="AJ89" s="25">
        <f t="shared" si="48"/>
        <v>1271.5999999999999</v>
      </c>
      <c r="AK89" s="25">
        <f t="shared" si="49"/>
        <v>1373.328</v>
      </c>
      <c r="AL89" s="25">
        <f t="shared" si="50"/>
        <v>9613.2960000000003</v>
      </c>
      <c r="AM89" s="25">
        <f t="shared" si="51"/>
        <v>1469.6</v>
      </c>
      <c r="AN89" s="25">
        <f t="shared" si="52"/>
        <v>1587.1679999999999</v>
      </c>
      <c r="AO89" s="25">
        <f t="shared" si="53"/>
        <v>11110.175999999999</v>
      </c>
      <c r="AP89" s="22">
        <f>Table13[[#This Row],[Total Selling Price / Unit (MVR)]]/Table13[[#This Row],[CNF / Unit
(MVR)]]</f>
        <v>4.0225261464199518</v>
      </c>
      <c r="AQ89" s="34">
        <f>Table13[[#This Row],[Total Selling Price / Unit (MVR)]]-(Table13[[#This Row],[GST 8%
(MVR)]]+Table13[[#This Row],[Weighted max
expense (MVR)]])</f>
        <v>334.95011722030415</v>
      </c>
      <c r="AR89" s="35">
        <f>Table13[[#This Row],[Profit / Unit (MVR)]]*Table13[[#This Row],[Qty 
(NOS)]]</f>
        <v>2344.6508205421292</v>
      </c>
      <c r="AS89"/>
      <c r="AT89"/>
    </row>
    <row r="90" spans="1:46" x14ac:dyDescent="0.25">
      <c r="A90" t="s">
        <v>65</v>
      </c>
      <c r="B90" s="17" t="s">
        <v>121</v>
      </c>
      <c r="C90" s="4">
        <v>4</v>
      </c>
      <c r="D90" s="7">
        <v>8.98</v>
      </c>
      <c r="E90" s="28">
        <v>35.92</v>
      </c>
      <c r="F90" s="28">
        <f t="shared" si="35"/>
        <v>197.56</v>
      </c>
      <c r="G90" s="4">
        <f t="shared" si="36"/>
        <v>790.24</v>
      </c>
      <c r="H90" s="28">
        <v>1271.5999999999999</v>
      </c>
      <c r="I90" s="28">
        <v>358.16</v>
      </c>
      <c r="J90" s="40">
        <f t="shared" si="37"/>
        <v>124.47834273590587</v>
      </c>
      <c r="K90" s="31">
        <f>(F90/$G$92)*Costs!$B$23</f>
        <v>292.18832393076076</v>
      </c>
      <c r="L90" s="31">
        <f t="shared" si="38"/>
        <v>416.66666666666663</v>
      </c>
      <c r="M90" s="31">
        <f t="shared" si="39"/>
        <v>33.333333333333329</v>
      </c>
      <c r="N90" s="40">
        <v>450</v>
      </c>
      <c r="O90" s="25">
        <f>Table13[[#This Row],[Total Selling Price / Unit (MVR)]]*Table13[[#This Row],[Qty 
(NOS)]]</f>
        <v>1800</v>
      </c>
      <c r="P90" s="64">
        <f t="shared" si="54"/>
        <v>2000</v>
      </c>
      <c r="Q90" s="64">
        <v>500</v>
      </c>
      <c r="R90" s="64">
        <f t="shared" si="55"/>
        <v>400</v>
      </c>
      <c r="S90" s="7">
        <v>55.71</v>
      </c>
      <c r="T90" s="28">
        <f t="shared" si="40"/>
        <v>1225.6200000000001</v>
      </c>
      <c r="U90" s="28">
        <v>1271.5999999999999</v>
      </c>
      <c r="V90" s="7">
        <v>57.8</v>
      </c>
      <c r="W90" s="7">
        <v>8.98</v>
      </c>
      <c r="X90" s="28">
        <f t="shared" si="41"/>
        <v>1580.48</v>
      </c>
      <c r="Y90" s="28">
        <v>395</v>
      </c>
      <c r="Z90" s="60">
        <f t="shared" si="56"/>
        <v>395.12</v>
      </c>
      <c r="AA90" s="70">
        <v>197.56</v>
      </c>
      <c r="AB90" s="28">
        <v>358.16</v>
      </c>
      <c r="AC90" s="28">
        <v>450</v>
      </c>
      <c r="AD90" s="25">
        <f t="shared" si="42"/>
        <v>891.27599999999995</v>
      </c>
      <c r="AE90" s="25">
        <f t="shared" si="43"/>
        <v>962.57808</v>
      </c>
      <c r="AF90" s="25">
        <f t="shared" si="44"/>
        <v>3850.31232</v>
      </c>
      <c r="AG90" s="25">
        <f t="shared" si="45"/>
        <v>1030.056</v>
      </c>
      <c r="AH90" s="25">
        <f t="shared" si="46"/>
        <v>1112.4604800000002</v>
      </c>
      <c r="AI90" s="25">
        <f t="shared" si="47"/>
        <v>4449.8419200000008</v>
      </c>
      <c r="AJ90" s="25">
        <f t="shared" si="48"/>
        <v>1271.5999999999999</v>
      </c>
      <c r="AK90" s="25">
        <f t="shared" si="49"/>
        <v>1373.328</v>
      </c>
      <c r="AL90" s="25">
        <f t="shared" si="50"/>
        <v>5493.3119999999999</v>
      </c>
      <c r="AM90" s="25">
        <f t="shared" si="51"/>
        <v>1469.6</v>
      </c>
      <c r="AN90" s="25">
        <f t="shared" si="52"/>
        <v>1587.1679999999999</v>
      </c>
      <c r="AO90" s="25">
        <f t="shared" si="53"/>
        <v>6348.6719999999996</v>
      </c>
      <c r="AP90" s="22">
        <f>Table13[[#This Row],[Total Selling Price / Unit (MVR)]]/Table13[[#This Row],[CNF / Unit
(MVR)]]</f>
        <v>2.2777890261186475</v>
      </c>
      <c r="AQ90" s="36">
        <f>Table13[[#This Row],[Total Selling Price / Unit (MVR)]]-(Table13[[#This Row],[GST 8%
(MVR)]]+Table13[[#This Row],[Weighted max
expense (MVR)]])</f>
        <v>124.47834273590593</v>
      </c>
      <c r="AR90" s="37">
        <f>Table13[[#This Row],[Profit / Unit (MVR)]]*Table13[[#This Row],[Qty 
(NOS)]]</f>
        <v>497.9133709436237</v>
      </c>
      <c r="AS90"/>
      <c r="AT90"/>
    </row>
    <row r="91" spans="1:46" x14ac:dyDescent="0.25">
      <c r="A91" t="s">
        <v>85</v>
      </c>
      <c r="B91" s="79" t="s">
        <v>121</v>
      </c>
      <c r="C91" s="4">
        <v>4</v>
      </c>
      <c r="D91" s="7">
        <v>8.98</v>
      </c>
      <c r="E91" s="28">
        <v>35.92</v>
      </c>
      <c r="F91" s="28">
        <f t="shared" si="35"/>
        <v>197.56</v>
      </c>
      <c r="G91" s="4">
        <f t="shared" si="36"/>
        <v>790.24</v>
      </c>
      <c r="H91" s="28">
        <v>1271.5999999999999</v>
      </c>
      <c r="I91" s="28">
        <v>426.14000000000004</v>
      </c>
      <c r="J91" s="39">
        <f t="shared" si="37"/>
        <v>170.77463903220217</v>
      </c>
      <c r="K91" s="30">
        <f>(F91/$G$92)*Costs!$B$23</f>
        <v>292.18832393076076</v>
      </c>
      <c r="L91" s="30">
        <f t="shared" si="38"/>
        <v>462.96296296296293</v>
      </c>
      <c r="M91" s="30">
        <f t="shared" si="39"/>
        <v>37.037037037037038</v>
      </c>
      <c r="N91" s="39">
        <v>500</v>
      </c>
      <c r="O91" s="25">
        <f>Table13[[#This Row],[Total Selling Price / Unit (MVR)]]*Table13[[#This Row],[Qty 
(NOS)]]</f>
        <v>2000</v>
      </c>
      <c r="P91" s="64">
        <f t="shared" si="54"/>
        <v>2200</v>
      </c>
      <c r="Q91" s="64">
        <v>550</v>
      </c>
      <c r="R91" s="64">
        <f t="shared" si="55"/>
        <v>440</v>
      </c>
      <c r="S91" s="7">
        <v>55.71</v>
      </c>
      <c r="T91" s="28">
        <f t="shared" si="40"/>
        <v>1225.6200000000001</v>
      </c>
      <c r="U91" s="28">
        <v>1271.5999999999999</v>
      </c>
      <c r="V91" s="7">
        <v>57.8</v>
      </c>
      <c r="W91" s="7">
        <v>8.98</v>
      </c>
      <c r="X91" s="28">
        <f t="shared" si="41"/>
        <v>1580.48</v>
      </c>
      <c r="Y91" s="28">
        <v>395</v>
      </c>
      <c r="Z91" s="60">
        <f t="shared" si="56"/>
        <v>395.12</v>
      </c>
      <c r="AA91" s="69">
        <v>197.56</v>
      </c>
      <c r="AB91" s="28">
        <v>426.14000000000004</v>
      </c>
      <c r="AC91" s="28">
        <v>500</v>
      </c>
      <c r="AD91" s="25">
        <f t="shared" si="42"/>
        <v>891.27599999999995</v>
      </c>
      <c r="AE91" s="25">
        <f t="shared" si="43"/>
        <v>962.57808</v>
      </c>
      <c r="AF91" s="25">
        <f t="shared" si="44"/>
        <v>3850.31232</v>
      </c>
      <c r="AG91" s="25">
        <f t="shared" si="45"/>
        <v>1030.056</v>
      </c>
      <c r="AH91" s="25">
        <f t="shared" si="46"/>
        <v>1112.4604800000002</v>
      </c>
      <c r="AI91" s="25">
        <f t="shared" si="47"/>
        <v>4449.8419200000008</v>
      </c>
      <c r="AJ91" s="25">
        <f t="shared" si="48"/>
        <v>1271.5999999999999</v>
      </c>
      <c r="AK91" s="25">
        <f t="shared" si="49"/>
        <v>1373.328</v>
      </c>
      <c r="AL91" s="25">
        <f t="shared" si="50"/>
        <v>5493.3119999999999</v>
      </c>
      <c r="AM91" s="25">
        <f t="shared" si="51"/>
        <v>1469.6</v>
      </c>
      <c r="AN91" s="25">
        <f t="shared" si="52"/>
        <v>1587.1679999999999</v>
      </c>
      <c r="AO91" s="25">
        <f t="shared" si="53"/>
        <v>6348.6719999999996</v>
      </c>
      <c r="AP91" s="22">
        <f>Table13[[#This Row],[Total Selling Price / Unit (MVR)]]/Table13[[#This Row],[CNF / Unit
(MVR)]]</f>
        <v>2.530876695687386</v>
      </c>
      <c r="AQ91" s="34">
        <f>Table13[[#This Row],[Total Selling Price / Unit (MVR)]]-(Table13[[#This Row],[GST 8%
(MVR)]]+Table13[[#This Row],[Weighted max
expense (MVR)]])</f>
        <v>170.77463903220223</v>
      </c>
      <c r="AR91" s="35">
        <f>Table13[[#This Row],[Profit / Unit (MVR)]]*Table13[[#This Row],[Qty 
(NOS)]]</f>
        <v>683.09855612880892</v>
      </c>
      <c r="AS91"/>
      <c r="AT91"/>
    </row>
    <row r="92" spans="1:46" thickBot="1" x14ac:dyDescent="0.3">
      <c r="A92" s="46" t="s">
        <v>22</v>
      </c>
      <c r="B92" s="50"/>
      <c r="C92" s="46">
        <v>422</v>
      </c>
      <c r="D92" s="47">
        <f>SUM(D3:D91)</f>
        <v>460.45000000000005</v>
      </c>
      <c r="E92" s="47">
        <v>2136.63</v>
      </c>
      <c r="F92" s="48">
        <f>SUM(F3:F91)</f>
        <v>10129.899999999994</v>
      </c>
      <c r="G92" s="48">
        <f>SUM(G3:G91)</f>
        <v>46834.7</v>
      </c>
      <c r="H92" s="49"/>
      <c r="I92" s="49"/>
      <c r="J92" s="42">
        <f t="shared" si="37"/>
        <v>12124.508903094089</v>
      </c>
      <c r="K92" s="43">
        <f t="shared" ref="K92:R92" si="57">SUM(K3:K91)</f>
        <v>14981.972578387389</v>
      </c>
      <c r="L92" s="43">
        <f t="shared" si="57"/>
        <v>27106.481481481478</v>
      </c>
      <c r="M92" s="43">
        <f t="shared" si="57"/>
        <v>2168.5185185185169</v>
      </c>
      <c r="N92" s="85">
        <f t="shared" si="57"/>
        <v>29275</v>
      </c>
      <c r="O92" s="44">
        <f t="shared" si="57"/>
        <v>136161</v>
      </c>
      <c r="P92" s="62">
        <f t="shared" si="57"/>
        <v>137115</v>
      </c>
      <c r="Q92" s="62">
        <f t="shared" si="57"/>
        <v>29570</v>
      </c>
      <c r="R92" s="62">
        <f t="shared" si="57"/>
        <v>23656</v>
      </c>
      <c r="S92" s="44">
        <f t="shared" ref="S92:U92" si="58">SUM(S3:S91)</f>
        <v>2099.8999999999992</v>
      </c>
      <c r="T92" s="62">
        <f t="shared" si="58"/>
        <v>46197.800000000039</v>
      </c>
      <c r="U92" s="62">
        <f t="shared" si="58"/>
        <v>40557.220000000052</v>
      </c>
      <c r="V92" s="62">
        <f t="shared" ref="V92" si="59">SUM(V3:V91)</f>
        <v>2269.3600000000006</v>
      </c>
      <c r="W92" s="62">
        <f t="shared" ref="W92" si="60">SUM(W3:W91)</f>
        <v>460.45000000000005</v>
      </c>
      <c r="X92" s="62">
        <f t="shared" ref="X92:Y92" si="61">SUM(X3:X91)</f>
        <v>93669.4</v>
      </c>
      <c r="Y92" s="62">
        <f t="shared" si="61"/>
        <v>20465</v>
      </c>
      <c r="Z92" s="62">
        <f t="shared" ref="Z92" si="62">SUM(Z3:Z91)</f>
        <v>20259.799999999988</v>
      </c>
      <c r="AA92" s="71">
        <v>10129.899999999994</v>
      </c>
      <c r="AB92" s="62">
        <f t="shared" ref="AB92:AD92" si="63">SUM(AB3:AB91)</f>
        <v>21941.399999999991</v>
      </c>
      <c r="AC92" s="44">
        <f t="shared" si="63"/>
        <v>29275</v>
      </c>
      <c r="AD92" s="44">
        <f t="shared" si="63"/>
        <v>34993.53119999999</v>
      </c>
      <c r="AE92" s="62">
        <f t="shared" ref="AE92:AO92" si="64">SUM(AE3:AE91)</f>
        <v>37793.013695999995</v>
      </c>
      <c r="AF92" s="81">
        <f t="shared" si="64"/>
        <v>170851.78043999989</v>
      </c>
      <c r="AG92" s="44">
        <f t="shared" si="64"/>
        <v>47344.951199999981</v>
      </c>
      <c r="AH92" s="62">
        <f t="shared" si="64"/>
        <v>51132.547296000019</v>
      </c>
      <c r="AI92" s="82">
        <f t="shared" si="64"/>
        <v>233802.3884400001</v>
      </c>
      <c r="AJ92" s="44">
        <f t="shared" si="64"/>
        <v>49925.920000000049</v>
      </c>
      <c r="AK92" s="62">
        <f t="shared" si="64"/>
        <v>53919.993599999994</v>
      </c>
      <c r="AL92" s="83">
        <f t="shared" si="64"/>
        <v>243757.4040000001</v>
      </c>
      <c r="AM92" s="44">
        <f t="shared" si="64"/>
        <v>67547.920000000056</v>
      </c>
      <c r="AN92" s="62">
        <f t="shared" si="64"/>
        <v>72951.753600000098</v>
      </c>
      <c r="AO92" s="84">
        <f t="shared" si="64"/>
        <v>333570.20400000026</v>
      </c>
      <c r="AP92" s="45">
        <f>(SUM(AP3:AP91)/89)</f>
        <v>3.2987643263354016</v>
      </c>
      <c r="AQ92" s="42">
        <f>SUM(AQ3:AQ91)</f>
        <v>12124.508903094089</v>
      </c>
      <c r="AR92" s="42">
        <f>SUM(AR3:AR91)</f>
        <v>56807.17</v>
      </c>
      <c r="AS92"/>
      <c r="AT92"/>
    </row>
    <row r="93" spans="1:46" ht="67.150000000000006" hidden="1" customHeight="1" thickTop="1" thickBot="1" x14ac:dyDescent="0.3">
      <c r="N93" s="86" t="s">
        <v>185</v>
      </c>
      <c r="O93" s="38" t="s">
        <v>175</v>
      </c>
      <c r="P93" s="38"/>
      <c r="Q93" s="67" t="s">
        <v>180</v>
      </c>
      <c r="R93" s="5"/>
      <c r="S93" s="5"/>
      <c r="T93" s="67" t="s">
        <v>177</v>
      </c>
      <c r="U93" s="67" t="s">
        <v>178</v>
      </c>
      <c r="V93" s="5"/>
      <c r="W93" s="5"/>
      <c r="X93" s="5"/>
      <c r="Y93" s="5"/>
      <c r="Z93" s="5"/>
      <c r="AA93" s="5" t="s">
        <v>179</v>
      </c>
      <c r="AB93" s="67" t="s">
        <v>181</v>
      </c>
      <c r="AD93" s="80" t="s">
        <v>165</v>
      </c>
      <c r="AE93" s="87" t="s">
        <v>184</v>
      </c>
      <c r="AF93" s="74" t="s">
        <v>168</v>
      </c>
      <c r="AG93" s="75" t="s">
        <v>164</v>
      </c>
      <c r="AH93" s="88" t="s">
        <v>184</v>
      </c>
      <c r="AI93" s="76" t="s">
        <v>169</v>
      </c>
      <c r="AJ93" s="77" t="s">
        <v>166</v>
      </c>
      <c r="AK93" s="89" t="s">
        <v>184</v>
      </c>
      <c r="AL93" s="77" t="s">
        <v>170</v>
      </c>
      <c r="AM93" s="78" t="s">
        <v>167</v>
      </c>
      <c r="AN93" s="90" t="s">
        <v>184</v>
      </c>
      <c r="AO93" s="78" t="s">
        <v>171</v>
      </c>
    </row>
    <row r="94" spans="1:46" ht="16.5" thickTop="1" x14ac:dyDescent="0.25"/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8029851-7f84-44f9-9cb8-2d7341402c92}" enabled="1" method="Standard" siteId="{535fef1c-582f-4349-a92a-62d1f83117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</vt:lpstr>
      <vt:lpstr>Pricing WorkSheet</vt:lpstr>
      <vt:lpstr>Final Pricing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Wazo</dc:creator>
  <cp:lastModifiedBy>Ibrahim Naufal (IT)</cp:lastModifiedBy>
  <dcterms:created xsi:type="dcterms:W3CDTF">2015-06-05T18:17:20Z</dcterms:created>
  <dcterms:modified xsi:type="dcterms:W3CDTF">2026-08-10T16:48:28Z</dcterms:modified>
</cp:coreProperties>
</file>